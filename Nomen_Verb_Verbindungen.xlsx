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VV" sheetId="1" state="visible" r:id="rId1"/>
  </sheets>
  <definedNames>
    <definedName name="_xlnm._FilterDatabase" localSheetId="0" hidden="1">'NVV'!$A$1:$L$118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FFFFF"/>
        <bgColor rgb="00FFFFFF"/>
      </patternFill>
    </fill>
    <fill>
      <patternFill patternType="solid">
        <fgColor rgb="00F0F8FF"/>
        <bgColor rgb="00F0F8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25" customWidth="1" min="3" max="3"/>
    <col width="15" customWidth="1" min="4" max="4"/>
    <col width="30" customWidth="1" min="5" max="5"/>
    <col width="30" customWidth="1" min="6" max="6"/>
    <col width="30" customWidth="1" min="7" max="7"/>
    <col width="50" customWidth="1" min="8" max="8"/>
    <col width="45" customWidth="1" min="9" max="9"/>
    <col width="55" customWidth="1" min="10" max="10"/>
    <col width="55" customWidth="1" min="11" max="11"/>
    <col width="55" customWidth="1" min="12" max="12"/>
  </cols>
  <sheetData>
    <row r="1">
      <c r="A1" s="1" t="inlineStr">
        <is>
          <t>#</t>
        </is>
      </c>
      <c r="B1" s="1" t="inlineStr">
        <is>
          <t>Nomen-Verb-Verbindung</t>
        </is>
      </c>
      <c r="C1" s="1" t="inlineStr">
        <is>
          <t>Präposition + Kasus</t>
        </is>
      </c>
      <c r="D1" s="1" t="inlineStr">
        <is>
          <t>Register</t>
        </is>
      </c>
      <c r="E1" s="1" t="inlineStr">
        <is>
          <t>Einfaches Verb</t>
        </is>
      </c>
      <c r="F1" s="1" t="inlineStr">
        <is>
          <t>Español</t>
        </is>
      </c>
      <c r="G1" s="1" t="inlineStr">
        <is>
          <t>English</t>
        </is>
      </c>
      <c r="H1" s="1" t="inlineStr">
        <is>
          <t>Etymologie</t>
        </is>
      </c>
      <c r="I1" s="1" t="inlineStr">
        <is>
          <t>Kollokationen</t>
        </is>
      </c>
      <c r="J1" s="1" t="inlineStr">
        <is>
          <t>Beispielsatz (DE)</t>
        </is>
      </c>
      <c r="K1" s="1" t="inlineStr">
        <is>
          <t>Ejemplo (ES)</t>
        </is>
      </c>
      <c r="L1" s="1" t="inlineStr">
        <is>
          <t>Example (EN)</t>
        </is>
      </c>
    </row>
    <row r="2">
      <c r="A2" s="2" t="inlineStr">
        <is>
          <t>NVV001</t>
        </is>
      </c>
      <c r="B2" s="3" t="inlineStr">
        <is>
          <t>sich in Abhängigkeit befinden</t>
        </is>
      </c>
      <c r="C2" s="2" t="inlineStr">
        <is>
          <t>in + Dativ · von + Dativ</t>
        </is>
      </c>
      <c r="D2" s="2" t="inlineStr">
        <is>
          <t>Formal</t>
        </is>
      </c>
      <c r="E2" s="2" t="inlineStr">
        <is>
          <t>von etwas abhängen (von + Dat.)</t>
        </is>
      </c>
      <c r="F2" s="2" t="inlineStr">
        <is>
          <t>depender de algo</t>
        </is>
      </c>
      <c r="G2" s="2" t="inlineStr">
        <is>
          <t>to be dependent on sth.</t>
        </is>
      </c>
      <c r="H2" s="2" t="inlineStr">
        <is>
          <t>die Abhängigkeit ← ab- (away) + hängen (to hang) + -keit (noun suffix) · befinden = to find oneself · Wörtlich: „sich in einem Zustand des Abhängens finden</t>
        </is>
      </c>
      <c r="I2" s="2" t="inlineStr">
        <is>
          <t>,</t>
        </is>
      </c>
      <c r="J2" s="2" t="inlineStr">
        <is>
          <t>,</t>
        </is>
      </c>
      <c r="K2" s="2" t="inlineStr">
        <is>
          <t>,</t>
        </is>
      </c>
      <c r="L2" s="2" t="inlineStr">
        <is>
          <t>,</t>
        </is>
      </c>
    </row>
    <row r="3">
      <c r="A3" s="4" t="inlineStr">
        <is>
          <t>NVV002</t>
        </is>
      </c>
      <c r="B3" s="5" t="inlineStr">
        <is>
          <t>auf Ablehnung stoßen</t>
        </is>
      </c>
      <c r="C3" s="4" t="inlineStr">
        <is>
          <t>auf + Akkusativ</t>
        </is>
      </c>
      <c r="D3" s="4" t="inlineStr">
        <is>
          <t>Formal</t>
        </is>
      </c>
      <c r="E3" s="4" t="inlineStr">
        <is>
          <t>abgelehnt werden</t>
        </is>
      </c>
      <c r="F3" s="4" t="inlineStr">
        <is>
          <t>ser rechazado</t>
        </is>
      </c>
      <c r="G3" s="4" t="inlineStr">
        <is>
          <t>to meet with rejection</t>
        </is>
      </c>
      <c r="H3" s="4" t="inlineStr">
        <is>
          <t>die Ablehnung ← ab- (off) + lehnen (to lean) + -ung · stoßen = to bump into · Wörtlich: „auf Ablehnung stoßen</t>
        </is>
      </c>
      <c r="I3" s="4" t="inlineStr">
        <is>
          <t>,</t>
        </is>
      </c>
      <c r="J3" s="4" t="inlineStr">
        <is>
          <t>,</t>
        </is>
      </c>
      <c r="K3" s="4" t="inlineStr">
        <is>
          <t>,</t>
        </is>
      </c>
      <c r="L3" s="4" t="inlineStr">
        <is>
          <t>,</t>
        </is>
      </c>
    </row>
    <row r="4">
      <c r="A4" s="2" t="inlineStr">
        <is>
          <t>NVV003</t>
        </is>
      </c>
      <c r="B4" s="3" t="inlineStr">
        <is>
          <t>Abschied nehmen</t>
        </is>
      </c>
      <c r="C4" s="2" t="inlineStr">
        <is>
          <t>von + Dativ</t>
        </is>
      </c>
      <c r="D4" s="2" t="inlineStr">
        <is>
          <t>Solemn</t>
        </is>
      </c>
      <c r="E4" s="2" t="inlineStr">
        <is>
          <t>sich verabschieden (von + Dat.)</t>
        </is>
      </c>
      <c r="F4" s="2" t="inlineStr">
        <is>
          <t>despedirse (de)</t>
        </is>
      </c>
      <c r="G4" s="2" t="inlineStr">
        <is>
          <t>to bid farewell / to take one's leave</t>
        </is>
      </c>
      <c r="H4" s="2" t="inlineStr">
        <is>
          <t>der Abschied ← ab- (away) + scheiden (to separate/part) · nehmen = to take · Wörtlich: „seine Trennung nehmen</t>
        </is>
      </c>
      <c r="I4" s="2" t="inlineStr">
        <is>
          <t>,</t>
        </is>
      </c>
      <c r="J4" s="2" t="inlineStr">
        <is>
          <t>,</t>
        </is>
      </c>
      <c r="K4" s="2" t="inlineStr">
        <is>
          <t>,</t>
        </is>
      </c>
      <c r="L4" s="2" t="inlineStr">
        <is>
          <t>,</t>
        </is>
      </c>
    </row>
    <row r="5">
      <c r="A5" s="4" t="inlineStr">
        <is>
          <t>NVV004</t>
        </is>
      </c>
      <c r="B5" s="5" t="inlineStr">
        <is>
          <t>einen Abschluss finden</t>
        </is>
      </c>
      <c r="C5" s="4" t="inlineStr">
        <is>
          <t>— (kein Präposition nötig)</t>
        </is>
      </c>
      <c r="D5" s="4" t="inlineStr">
        <is>
          <t>Formal Written</t>
        </is>
      </c>
      <c r="E5" s="4" t="inlineStr">
        <is>
          <t>abgeschlossen werden</t>
        </is>
      </c>
      <c r="F5" s="4" t="inlineStr">
        <is>
          <t>concluirse</t>
        </is>
      </c>
      <c r="G5" s="4" t="inlineStr">
        <is>
          <t>to come to a conclusion</t>
        </is>
      </c>
      <c r="H5" s="4" t="inlineStr">
        <is>
          <t>der Abschluss ← ab- (off) + schließen (to close) · finden = to find · Wörtlich: „ein Abschließen finden</t>
        </is>
      </c>
      <c r="I5" s="4" t="inlineStr">
        <is>
          <t>,</t>
        </is>
      </c>
      <c r="J5" s="4" t="inlineStr">
        <is>
          <t>,</t>
        </is>
      </c>
      <c r="K5" s="4" t="inlineStr">
        <is>
          <t>,</t>
        </is>
      </c>
      <c r="L5" s="4" t="inlineStr">
        <is>
          <t>,</t>
        </is>
      </c>
    </row>
    <row r="6">
      <c r="A6" s="2" t="inlineStr">
        <is>
          <t>NVV005</t>
        </is>
      </c>
      <c r="B6" s="3" t="inlineStr">
        <is>
          <t>eine Absprache treffen</t>
        </is>
      </c>
      <c r="C6" s="2" t="inlineStr">
        <is>
          <t>über + Akkusativ · mit + Dativ</t>
        </is>
      </c>
      <c r="D6" s="2" t="inlineStr">
        <is>
          <t>Neutral</t>
        </is>
      </c>
      <c r="E6" s="2" t="inlineStr">
        <is>
          <t>etwas absprechen (mit + Dat.)</t>
        </is>
      </c>
      <c r="F6" s="2" t="inlineStr">
        <is>
          <t>llegar a un acuerdo</t>
        </is>
      </c>
      <c r="G6" s="2" t="inlineStr">
        <is>
          <t>to make an arrangement</t>
        </is>
      </c>
      <c r="H6" s="2" t="inlineStr">
        <is>
          <t>die Absprache ← ab- (off) + sprechen (to speak) · treffen = to hit/meet · Wörtlich: „eine Verabredung treffen</t>
        </is>
      </c>
      <c r="I6" s="2" t="inlineStr">
        <is>
          <t>,</t>
        </is>
      </c>
      <c r="J6" s="2" t="inlineStr">
        <is>
          <t>,</t>
        </is>
      </c>
      <c r="K6" s="2" t="inlineStr">
        <is>
          <t>,</t>
        </is>
      </c>
      <c r="L6" s="2" t="inlineStr">
        <is>
          <t>,</t>
        </is>
      </c>
    </row>
    <row r="7">
      <c r="A7" s="4" t="inlineStr">
        <is>
          <t>NVV006</t>
        </is>
      </c>
      <c r="B7" s="5" t="inlineStr">
        <is>
          <t>Anerkennung finden/genießen</t>
        </is>
      </c>
      <c r="C7" s="4" t="inlineStr">
        <is>
          <t>in + Dativ (Bereich) · bei + Dativ (Personen)</t>
        </is>
      </c>
      <c r="D7" s="4" t="inlineStr">
        <is>
          <t>Formal Written</t>
        </is>
      </c>
      <c r="E7" s="4" t="inlineStr">
        <is>
          <t>anerkannt werden</t>
        </is>
      </c>
      <c r="F7" s="4" t="inlineStr">
        <is>
          <t>ser reconocido</t>
        </is>
      </c>
      <c r="G7" s="4" t="inlineStr">
        <is>
          <t>to gain/enjoy recognition</t>
        </is>
      </c>
      <c r="H7" s="4" t="inlineStr">
        <is>
          <t>die Anerkennung ← an- (at) + erkennen (to recognize) + -ung · finden = to find · Wörtlich: „Anerkennung finden</t>
        </is>
      </c>
      <c r="I7" s="4" t="inlineStr">
        <is>
          <t>,</t>
        </is>
      </c>
      <c r="J7" s="4" t="inlineStr">
        <is>
          <t>,</t>
        </is>
      </c>
      <c r="K7" s="4" t="inlineStr">
        <is>
          <t>,</t>
        </is>
      </c>
      <c r="L7" s="4" t="inlineStr">
        <is>
          <t>,</t>
        </is>
      </c>
    </row>
    <row r="8">
      <c r="A8" s="2" t="inlineStr">
        <is>
          <t>NVV007</t>
        </is>
      </c>
      <c r="B8" s="3" t="inlineStr">
        <is>
          <t>den Anfang machen</t>
        </is>
      </c>
      <c r="C8" s="2" t="inlineStr">
        <is>
          <t>— (kein Präposition nötig)</t>
        </is>
      </c>
      <c r="D8" s="2" t="inlineStr">
        <is>
          <t>Neutral</t>
        </is>
      </c>
      <c r="E8" s="2" t="inlineStr">
        <is>
          <t>etwas anfangen / beginnen</t>
        </is>
      </c>
      <c r="F8" s="2" t="inlineStr">
        <is>
          <t>empezar / dar el primer paso</t>
        </is>
      </c>
      <c r="G8" s="2" t="inlineStr">
        <is>
          <t>to make a start / to go first</t>
        </is>
      </c>
      <c r="H8" s="2" t="inlineStr">
        <is>
          <t>der Anfang ← an- (at/on) + fangen (to catch) · machen = to make · Wörtlich: „den Beginn machen</t>
        </is>
      </c>
      <c r="I8" s="2" t="inlineStr">
        <is>
          <t>,</t>
        </is>
      </c>
      <c r="J8" s="2" t="inlineStr">
        <is>
          <t>,</t>
        </is>
      </c>
      <c r="K8" s="2" t="inlineStr">
        <is>
          <t>,</t>
        </is>
      </c>
      <c r="L8" s="2" t="inlineStr">
        <is>
          <t>,</t>
        </is>
      </c>
    </row>
    <row r="9">
      <c r="A9" s="4" t="inlineStr">
        <is>
          <t>NVV008</t>
        </is>
      </c>
      <c r="B9" s="5" t="inlineStr">
        <is>
          <t>Anklage erheben</t>
        </is>
      </c>
      <c r="C9" s="4" t="inlineStr">
        <is>
          <t>gegen + Akkusativ</t>
        </is>
      </c>
      <c r="D9" s="4" t="inlineStr">
        <is>
          <t>Legal</t>
        </is>
      </c>
      <c r="E9" s="4" t="inlineStr">
        <is>
          <t>jemanden anklagen</t>
        </is>
      </c>
      <c r="F9" s="4" t="inlineStr">
        <is>
          <t>presentar cargos (contra)</t>
        </is>
      </c>
      <c r="G9" s="4" t="inlineStr">
        <is>
          <t>to press/bring charges (against)</t>
        </is>
      </c>
      <c r="H9" s="4" t="inlineStr">
        <is>
          <t>die Anklage ← an- (at) + klagen (to complain/lament) · erheben = to raise · Wörtlich: „eine Klage erheben</t>
        </is>
      </c>
      <c r="I9" s="4" t="inlineStr">
        <is>
          <t>,</t>
        </is>
      </c>
      <c r="J9" s="4" t="inlineStr">
        <is>
          <t>,</t>
        </is>
      </c>
      <c r="K9" s="4" t="inlineStr">
        <is>
          <t>,</t>
        </is>
      </c>
      <c r="L9" s="4" t="inlineStr">
        <is>
          <t>,</t>
        </is>
      </c>
    </row>
    <row r="10">
      <c r="A10" s="2" t="inlineStr">
        <is>
          <t>NVV009</t>
        </is>
      </c>
      <c r="B10" s="3" t="inlineStr">
        <is>
          <t>Anspruch haben/erheben auf</t>
        </is>
      </c>
      <c r="C10" s="2" t="inlineStr">
        <is>
          <t>auf + Akkusativ · Ansprüche stellen an + Akk</t>
        </is>
      </c>
      <c r="D10" s="2" t="inlineStr">
        <is>
          <t>Formal</t>
        </is>
      </c>
      <c r="E10" s="2" t="inlineStr">
        <is>
          <t>etwas beanspruchen</t>
        </is>
      </c>
      <c r="F10" s="2" t="inlineStr">
        <is>
          <t>tener derecho a / reclamar</t>
        </is>
      </c>
      <c r="G10" s="2" t="inlineStr">
        <is>
          <t>to have a claim to / to lay claim to</t>
        </is>
      </c>
      <c r="H10" s="2" t="inlineStr">
        <is>
          <t>der Anspruch ← an- + sprechen (to speak) → „Anrede, Forderung</t>
        </is>
      </c>
      <c r="I10" s="2">
        <f> to raise a claim</f>
        <v/>
      </c>
      <c r="J10" s="2" t="inlineStr">
        <is>
          <t>hohe / berechtigte / übertriebene Ansprüche stellen · Anspruch auf Urlaub / Entschädigung</t>
        </is>
      </c>
      <c r="K10" s="2" t="inlineStr">
        <is>
          <t>Alle Kollegen haben Anspruch auf Urlaubsgeld.</t>
        </is>
      </c>
      <c r="L10" s="2" t="inlineStr">
        <is>
          <t>Todos los colegas tienen derecho a la paga de vacaciones.</t>
        </is>
      </c>
    </row>
    <row r="11">
      <c r="A11" s="4" t="inlineStr">
        <is>
          <t>NVV010</t>
        </is>
      </c>
      <c r="B11" s="5" t="inlineStr">
        <is>
          <t>Anstrengungen unternehmen</t>
        </is>
      </c>
      <c r="C11" s="4" t="inlineStr">
        <is>
          <t>— (kein Präposition nötig) · Ziel: um … zu + Infinitiv</t>
        </is>
      </c>
      <c r="D11" s="4" t="inlineStr">
        <is>
          <t>Formal</t>
        </is>
      </c>
      <c r="E11" s="4" t="inlineStr">
        <is>
          <t>sich anstrengen</t>
        </is>
      </c>
      <c r="F11" s="4" t="inlineStr">
        <is>
          <t>hacer esfuerzos</t>
        </is>
      </c>
      <c r="G11" s="4" t="inlineStr">
        <is>
          <t>to make efforts</t>
        </is>
      </c>
      <c r="H11" s="4" t="inlineStr">
        <is>
          <t>die Anstrengung ← an- + strengen (to strain) + -ung · unternehmen = to undertake · Wörtlich: „Anstrengungen unternehmen</t>
        </is>
      </c>
      <c r="I11" s="4" t="inlineStr">
        <is>
          <t>,</t>
        </is>
      </c>
      <c r="J11" s="4" t="inlineStr">
        <is>
          <t>,</t>
        </is>
      </c>
      <c r="K11" s="4" t="inlineStr">
        <is>
          <t>,</t>
        </is>
      </c>
      <c r="L11" s="4" t="inlineStr">
        <is>
          <t>,</t>
        </is>
      </c>
    </row>
    <row r="12">
      <c r="A12" s="2" t="inlineStr">
        <is>
          <t>NVV011</t>
        </is>
      </c>
      <c r="B12" s="3" t="inlineStr">
        <is>
          <t>Anstoß nehmen an</t>
        </is>
      </c>
      <c r="C12" s="2" t="inlineStr">
        <is>
          <t>an + Dativ</t>
        </is>
      </c>
      <c r="D12" s="2" t="inlineStr">
        <is>
          <t>Formal</t>
        </is>
      </c>
      <c r="E12" s="2" t="inlineStr">
        <is>
          <t>etwas beanstanden / missbilligen</t>
        </is>
      </c>
      <c r="F12" s="2" t="inlineStr">
        <is>
          <t>ofenderse por / escandalizarse por</t>
        </is>
      </c>
      <c r="G12" s="2" t="inlineStr">
        <is>
          <t>to take offence at</t>
        </is>
      </c>
      <c r="H12" s="2" t="inlineStr">
        <is>
          <t>der Anstoß ← an- + stoßen (to push/bump) · nehmen = to take · Wörtlich: „einen Anstoß nehmen</t>
        </is>
      </c>
      <c r="I12" s="2" t="inlineStr">
        <is>
          <t>,</t>
        </is>
      </c>
      <c r="J12" s="2" t="inlineStr">
        <is>
          <t>,</t>
        </is>
      </c>
      <c r="K12" s="2" t="inlineStr">
        <is>
          <t>,</t>
        </is>
      </c>
      <c r="L12" s="2" t="inlineStr">
        <is>
          <t>,</t>
        </is>
      </c>
    </row>
    <row r="13">
      <c r="A13" s="4" t="inlineStr">
        <is>
          <t>NVV012</t>
        </is>
      </c>
      <c r="B13" s="5" t="inlineStr">
        <is>
          <t>einen Antrag stellen</t>
        </is>
      </c>
      <c r="C13" s="4" t="inlineStr">
        <is>
          <t>auf + Akkusativ · bei + Dativ (Behörde)</t>
        </is>
      </c>
      <c r="D13" s="4" t="inlineStr">
        <is>
          <t>R_OFFICIAL</t>
        </is>
      </c>
      <c r="E13" s="4" t="inlineStr">
        <is>
          <t>etwas beantragen</t>
        </is>
      </c>
      <c r="F13" s="4" t="inlineStr">
        <is>
          <t>presentar una solicitud</t>
        </is>
      </c>
      <c r="G13" s="4" t="inlineStr">
        <is>
          <t>to file/submit an application</t>
        </is>
      </c>
      <c r="H13" s="4" t="inlineStr">
        <is>
          <t>der Antrag ← an- + tragen (to carry) → „etwas vortragen</t>
        </is>
      </c>
      <c r="I13" s="4">
        <f> to place a request</f>
        <v/>
      </c>
      <c r="J13" s="4" t="inlineStr">
        <is>
          <t>einen schriftlichen / formellen / dringenden Antrag stellen · Antrag auf Asyl / Visum / Förderung</t>
        </is>
      </c>
      <c r="K13" s="4" t="inlineStr">
        <is>
          <t>Für den Erhalt einer Aufenthaltserlaubnis müssen Sie einen Antrag bei der Behörde stellen.</t>
        </is>
      </c>
      <c r="L13" s="4" t="inlineStr">
        <is>
          <t>Para obtener un permiso de residencia, debe presentar una solicitud.</t>
        </is>
      </c>
    </row>
    <row r="14">
      <c r="A14" s="2" t="inlineStr">
        <is>
          <t>NVV013</t>
        </is>
      </c>
      <c r="B14" s="3" t="inlineStr">
        <is>
          <t>zur Anwendung kommen</t>
        </is>
      </c>
      <c r="C14" s="2" t="inlineStr">
        <is>
          <t>— (kein Präposition nötig, oft mit bei + Dat)</t>
        </is>
      </c>
      <c r="D14" s="2" t="inlineStr">
        <is>
          <t>R_OFFICIAL</t>
        </is>
      </c>
      <c r="E14" s="2" t="inlineStr">
        <is>
          <t>etwas anwenden / angewandt werden</t>
        </is>
      </c>
      <c r="F14" s="2" t="inlineStr">
        <is>
          <t>aplicarse</t>
        </is>
      </c>
      <c r="G14" s="2" t="inlineStr">
        <is>
          <t>to be applied / to come into use</t>
        </is>
      </c>
      <c r="H14" s="2" t="inlineStr">
        <is>
          <t>die Anwendung ← an- + wenden (to turn) + -ung · kommen = to come · Wörtlich: „zur Anwendung kommen</t>
        </is>
      </c>
      <c r="I14" s="2" t="inlineStr">
        <is>
          <t>,</t>
        </is>
      </c>
      <c r="J14" s="2" t="inlineStr">
        <is>
          <t>,</t>
        </is>
      </c>
      <c r="K14" s="2" t="inlineStr">
        <is>
          <t>,</t>
        </is>
      </c>
      <c r="L14" s="2" t="inlineStr">
        <is>
          <t>,</t>
        </is>
      </c>
    </row>
    <row r="15">
      <c r="A15" s="4" t="inlineStr">
        <is>
          <t>NVV014</t>
        </is>
      </c>
      <c r="B15" s="5" t="inlineStr">
        <is>
          <t>in Aufregung versetzen / geraten</t>
        </is>
      </c>
      <c r="C15" s="4" t="inlineStr">
        <is>
          <t>in + Akkusativ (versetzen) · in + Akk (geraten)</t>
        </is>
      </c>
      <c r="D15" s="4" t="inlineStr">
        <is>
          <t>Neutral</t>
        </is>
      </c>
      <c r="E15" s="4" t="inlineStr">
        <is>
          <t>jemanden aufregen / sich aufregen</t>
        </is>
      </c>
      <c r="F15" s="4" t="inlineStr">
        <is>
          <t>causar agitación / agitarse</t>
        </is>
      </c>
      <c r="G15" s="4" t="inlineStr">
        <is>
          <t>to cause agitation / to get agitated</t>
        </is>
      </c>
      <c r="H15" s="4" t="inlineStr">
        <is>
          <t>die Aufregung ← auf- (up) + regen (to stir) + -ung · versetzen = to transfer/put into · Wörtlich: „in Erregung versetzen</t>
        </is>
      </c>
      <c r="I15" s="4" t="inlineStr">
        <is>
          <t>,</t>
        </is>
      </c>
      <c r="J15" s="4" t="inlineStr">
        <is>
          <t>,</t>
        </is>
      </c>
      <c r="K15" s="4" t="inlineStr">
        <is>
          <t>,</t>
        </is>
      </c>
      <c r="L15" s="4" t="inlineStr">
        <is>
          <t>,</t>
        </is>
      </c>
    </row>
    <row r="16">
      <c r="A16" s="2" t="inlineStr">
        <is>
          <t>NVV015</t>
        </is>
      </c>
      <c r="B16" s="3" t="inlineStr">
        <is>
          <t>einen Auftrag erteilen / bekommen</t>
        </is>
      </c>
      <c r="C16" s="2" t="inlineStr">
        <is>
          <t>zu + Dativ (Zweck) · jmdm. (= Dativ)</t>
        </is>
      </c>
      <c r="D16" s="2" t="inlineStr">
        <is>
          <t>Business</t>
        </is>
      </c>
      <c r="E16" s="2" t="inlineStr">
        <is>
          <t>jemanden beauftragen / beauftragt werden</t>
        </is>
      </c>
      <c r="F16" s="2" t="inlineStr">
        <is>
          <t>dar/recibir un encargo</t>
        </is>
      </c>
      <c r="G16" s="2" t="inlineStr">
        <is>
          <t>to commission / to receive a commission</t>
        </is>
      </c>
      <c r="H16" s="2" t="inlineStr">
        <is>
          <t>der Auftrag ← auf- + tragen (to carry) → „etwas auftragen</t>
        </is>
      </c>
      <c r="I16" s="2">
        <f> to issue a task</f>
        <v/>
      </c>
      <c r="J16" s="2" t="inlineStr">
        <is>
          <t>einen wichtigen / dringenden / lukrativen Auftrag erteilen/erhalten · einen Auftrag ausführen (to carry out)</t>
        </is>
      </c>
      <c r="K16" s="2" t="inlineStr">
        <is>
          <t>Wir erteilen Ihnen den Auftrag zur Umgestaltung unserer Cafeteria.</t>
        </is>
      </c>
      <c r="L16" s="2" t="inlineStr">
        <is>
          <t>Le damos el encargo de remodelar nuestra cafetería.</t>
        </is>
      </c>
    </row>
    <row r="17">
      <c r="A17" s="4" t="inlineStr">
        <is>
          <t>NVV016</t>
        </is>
      </c>
      <c r="B17" s="5" t="inlineStr">
        <is>
          <t>im Auge haben / behalten</t>
        </is>
      </c>
      <c r="C17" s="4" t="inlineStr">
        <is>
          <t>— (Objekt im Akkusativ)</t>
        </is>
      </c>
      <c r="D17" s="4" t="inlineStr">
        <is>
          <t>Neutral</t>
        </is>
      </c>
      <c r="E17" s="4" t="inlineStr">
        <is>
          <t>etwas/jemanden beobachten / kontrollieren</t>
        </is>
      </c>
      <c r="F17" s="4" t="inlineStr">
        <is>
          <t>vigilar / tener en la mira</t>
        </is>
      </c>
      <c r="G17" s="4" t="inlineStr">
        <is>
          <t>to keep an eye on</t>
        </is>
      </c>
      <c r="H17" s="4" t="inlineStr">
        <is>
          <t>das Auge = the eye · behalten = to keep · Wörtlich: „im Auge behalten</t>
        </is>
      </c>
      <c r="I17" s="4" t="inlineStr">
        <is>
          <t>,</t>
        </is>
      </c>
      <c r="J17" s="4" t="inlineStr">
        <is>
          <t>,</t>
        </is>
      </c>
      <c r="K17" s="4" t="inlineStr">
        <is>
          <t>,</t>
        </is>
      </c>
      <c r="L17" s="4" t="inlineStr">
        <is>
          <t>,</t>
        </is>
      </c>
    </row>
    <row r="18">
      <c r="A18" s="2" t="inlineStr">
        <is>
          <t>NVV017</t>
        </is>
      </c>
      <c r="B18" s="3" t="inlineStr">
        <is>
          <t>Auskunft erteilen / geben</t>
        </is>
      </c>
      <c r="C18" s="2" t="inlineStr">
        <is>
          <t>über + Akkusativ · jmdm. (Dativ)</t>
        </is>
      </c>
      <c r="D18" s="2" t="inlineStr">
        <is>
          <t>Formal</t>
        </is>
      </c>
      <c r="E18" s="2" t="inlineStr">
        <is>
          <t>jemanden informieren</t>
        </is>
      </c>
      <c r="F18" s="2" t="inlineStr">
        <is>
          <t>dar información</t>
        </is>
      </c>
      <c r="G18" s="2" t="inlineStr">
        <is>
          <t>to provide information</t>
        </is>
      </c>
      <c r="H18" s="2" t="inlineStr">
        <is>
          <t>die Auskunft ← aus- (out) + Kunft (von kommen) → „was herauskommt</t>
        </is>
      </c>
      <c r="I18" s="2">
        <f> to grant information</f>
        <v/>
      </c>
      <c r="J18" s="2" t="inlineStr">
        <is>
          <t>telefonische / schriftliche / detaillierte / keine Auskunft erteilen · Auskunft über Preise / Öffnungszeiten</t>
        </is>
      </c>
      <c r="K18" s="2" t="inlineStr">
        <is>
          <t>Der Schalterbeamte konnte mir keine Auskunft über die Zugverspätungen erteilen.</t>
        </is>
      </c>
      <c r="L18" s="2" t="inlineStr">
        <is>
          <t>El empleado de ventanilla no pudo darme información sobre los retrasos.</t>
        </is>
      </c>
    </row>
    <row r="19">
      <c r="A19" s="4" t="inlineStr">
        <is>
          <t>NVV018</t>
        </is>
      </c>
      <c r="B19" s="5" t="inlineStr">
        <is>
          <t>etwas in Aussicht stellen</t>
        </is>
      </c>
      <c r="C19" s="4" t="inlineStr">
        <is>
          <t>in + Akkusativ · jmdm. (Dativ)</t>
        </is>
      </c>
      <c r="D19" s="4" t="inlineStr">
        <is>
          <t>Formal</t>
        </is>
      </c>
      <c r="E19" s="4" t="inlineStr">
        <is>
          <t>etwas als möglich darstellen / versprechen</t>
        </is>
      </c>
      <c r="F19" s="4" t="inlineStr">
        <is>
          <t>prometer / poner en perspectiva</t>
        </is>
      </c>
      <c r="G19" s="4" t="inlineStr">
        <is>
          <t>to hold out the prospect of</t>
        </is>
      </c>
      <c r="H19" s="4" t="inlineStr">
        <is>
          <t>die Aussicht ← aus- (out) + Sicht (view) → „Ausblick</t>
        </is>
      </c>
      <c r="I19" s="4">
        <f> to place sth. in view</f>
        <v/>
      </c>
      <c r="J19" s="4" t="inlineStr">
        <is>
          <t>eine Lohnerhöhung / Beförderung / Verbesserung in Aussicht stellen · etwas in Aussicht haben (= to have sth. in prospect)</t>
        </is>
      </c>
      <c r="K19" s="4" t="inlineStr">
        <is>
          <t>Der Chef stellte uns eine Lohnerhöhung in Aussicht.</t>
        </is>
      </c>
      <c r="L19" s="4" t="inlineStr">
        <is>
          <t>El jefe nos prometió un aumento de sueldo.</t>
        </is>
      </c>
    </row>
    <row r="20">
      <c r="A20" s="2" t="inlineStr">
        <is>
          <t>NVV019</t>
        </is>
      </c>
      <c r="B20" s="3" t="inlineStr">
        <is>
          <t>eine Auswahl treffen</t>
        </is>
      </c>
      <c r="C20" s="2" t="inlineStr">
        <is>
          <t>unter + Dativ (aus mehreren)</t>
        </is>
      </c>
      <c r="D20" s="2" t="inlineStr">
        <is>
          <t>Neutral</t>
        </is>
      </c>
      <c r="E20" s="2" t="inlineStr">
        <is>
          <t>etwas/jemanden auswählen</t>
        </is>
      </c>
      <c r="F20" s="2" t="inlineStr">
        <is>
          <t>hacer una selección</t>
        </is>
      </c>
      <c r="G20" s="2" t="inlineStr">
        <is>
          <t>to make a selection / to choose</t>
        </is>
      </c>
      <c r="H20" s="2" t="inlineStr">
        <is>
          <t>die Auswahl ← aus- (out) + Wahl (choice) · treffen = to hit/meet · Wörtlich: „eine Auswahl treffen</t>
        </is>
      </c>
      <c r="I20" s="2" t="inlineStr">
        <is>
          <t>,</t>
        </is>
      </c>
      <c r="J20" s="2" t="inlineStr">
        <is>
          <t>,</t>
        </is>
      </c>
      <c r="K20" s="2" t="inlineStr">
        <is>
          <t>,</t>
        </is>
      </c>
      <c r="L20" s="2" t="inlineStr">
        <is>
          <t>,</t>
        </is>
      </c>
    </row>
    <row r="21">
      <c r="A21" s="4" t="inlineStr">
        <is>
          <t>NVV020</t>
        </is>
      </c>
      <c r="B21" s="5" t="inlineStr">
        <is>
          <t>zur Auswahl stehen</t>
        </is>
      </c>
      <c r="C21" s="4" t="inlineStr">
        <is>
          <t>— (kein Präposition nötig)</t>
        </is>
      </c>
      <c r="D21" s="4" t="inlineStr">
        <is>
          <t>Neutral</t>
        </is>
      </c>
      <c r="E21" s="4" t="inlineStr">
        <is>
          <t>ausgewählt werden können</t>
        </is>
      </c>
      <c r="F21" s="4" t="inlineStr">
        <is>
          <t>estar disponible para elegir</t>
        </is>
      </c>
      <c r="G21" s="4" t="inlineStr">
        <is>
          <t>to be available for selection</t>
        </is>
      </c>
      <c r="H21" s="4" t="inlineStr">
        <is>
          <t>zur Auswahl stehen = to stand for selection · Passivbedeutung: „auswählbar sein</t>
        </is>
      </c>
      <c r="I21" s="4" t="inlineStr">
        <is>
          <t>,</t>
        </is>
      </c>
      <c r="J21" s="4" t="inlineStr">
        <is>
          <t>,</t>
        </is>
      </c>
      <c r="K21" s="4" t="inlineStr">
        <is>
          <t>,</t>
        </is>
      </c>
      <c r="L21" s="4" t="inlineStr">
        <is>
          <t>,</t>
        </is>
      </c>
    </row>
    <row r="22">
      <c r="A22" s="2" t="inlineStr">
        <is>
          <t>NVV021</t>
        </is>
      </c>
      <c r="B22" s="3" t="inlineStr">
        <is>
          <t>Auswirkungen haben auf</t>
        </is>
      </c>
      <c r="C22" s="2" t="inlineStr">
        <is>
          <t>auf + Akkusativ</t>
        </is>
      </c>
      <c r="D22" s="2" t="inlineStr">
        <is>
          <t>Neutral</t>
        </is>
      </c>
      <c r="E22" s="2" t="inlineStr">
        <is>
          <t>sich auf etwas auswirken</t>
        </is>
      </c>
      <c r="F22" s="2" t="inlineStr">
        <is>
          <t>tener repercusiones en</t>
        </is>
      </c>
      <c r="G22" s="2" t="inlineStr">
        <is>
          <t>to have an effect/impact on</t>
        </is>
      </c>
      <c r="H22" s="2" t="inlineStr">
        <is>
          <t>die Auswirkung ← aus- + wirken (to have an effect) + -ung · Wörtlich: „Auswirkungen haben</t>
        </is>
      </c>
      <c r="I22" s="2" t="inlineStr">
        <is>
          <t>,</t>
        </is>
      </c>
      <c r="J22" s="2" t="inlineStr">
        <is>
          <t>,</t>
        </is>
      </c>
      <c r="K22" s="2" t="inlineStr">
        <is>
          <t>,</t>
        </is>
      </c>
      <c r="L22" s="2" t="inlineStr">
        <is>
          <t>,</t>
        </is>
      </c>
    </row>
    <row r="23">
      <c r="A23" s="4" t="inlineStr">
        <is>
          <t>NVV022</t>
        </is>
      </c>
      <c r="B23" s="5" t="inlineStr">
        <is>
          <t>sich im Bau befinden</t>
        </is>
      </c>
      <c r="C23" s="4" t="inlineStr">
        <is>
          <t>im (in + dem) + Dativ</t>
        </is>
      </c>
      <c r="D23" s="4" t="inlineStr">
        <is>
          <t>Formal</t>
        </is>
      </c>
      <c r="E23" s="4" t="inlineStr">
        <is>
          <t>gebaut werden</t>
        </is>
      </c>
      <c r="F23" s="4" t="inlineStr">
        <is>
          <t>estar en construcción</t>
        </is>
      </c>
      <c r="G23" s="4" t="inlineStr">
        <is>
          <t>to be under construction</t>
        </is>
      </c>
      <c r="H23" s="4" t="inlineStr">
        <is>
          <t>der Bau ← bauen (to build) · sich befinden = to find oneself · Wörtlich: „sich im Zustand des Bauens befinden</t>
        </is>
      </c>
      <c r="I23" s="4" t="inlineStr">
        <is>
          <t>,</t>
        </is>
      </c>
      <c r="J23" s="4" t="inlineStr">
        <is>
          <t>,</t>
        </is>
      </c>
      <c r="K23" s="4" t="inlineStr">
        <is>
          <t>,</t>
        </is>
      </c>
      <c r="L23" s="4" t="inlineStr">
        <is>
          <t>,</t>
        </is>
      </c>
    </row>
    <row r="24">
      <c r="A24" s="2" t="inlineStr">
        <is>
          <t>NVV023</t>
        </is>
      </c>
      <c r="B24" s="3" t="inlineStr">
        <is>
          <t>Beachtung finden</t>
        </is>
      </c>
      <c r="C24" s="2" t="inlineStr">
        <is>
          <t>bei + Dativ (Personen)</t>
        </is>
      </c>
      <c r="D24" s="2" t="inlineStr">
        <is>
          <t>Formal Written</t>
        </is>
      </c>
      <c r="E24" s="2" t="inlineStr">
        <is>
          <t>beachtet werden</t>
        </is>
      </c>
      <c r="F24" s="2" t="inlineStr">
        <is>
          <t>recibir atención</t>
        </is>
      </c>
      <c r="G24" s="2" t="inlineStr">
        <is>
          <t>to attract attention / to receive notice</t>
        </is>
      </c>
      <c r="H24" s="2" t="inlineStr">
        <is>
          <t>die Beachtung ← be- + achten (to pay attention) + -ung · finden = to find · Wörtlich: „Beachtung finden</t>
        </is>
      </c>
      <c r="I24" s="2" t="inlineStr">
        <is>
          <t>,</t>
        </is>
      </c>
      <c r="J24" s="2" t="inlineStr">
        <is>
          <t>,</t>
        </is>
      </c>
      <c r="K24" s="2" t="inlineStr">
        <is>
          <t>,</t>
        </is>
      </c>
      <c r="L24" s="2" t="inlineStr">
        <is>
          <t>,</t>
        </is>
      </c>
    </row>
    <row r="25">
      <c r="A25" s="4" t="inlineStr">
        <is>
          <t>NVV024</t>
        </is>
      </c>
      <c r="B25" s="5" t="inlineStr">
        <is>
          <t>einen Beitrag leisten zu</t>
        </is>
      </c>
      <c r="C25" s="4" t="inlineStr">
        <is>
          <t>zu + Dativ</t>
        </is>
      </c>
      <c r="D25" s="4" t="inlineStr">
        <is>
          <t>Neutral</t>
        </is>
      </c>
      <c r="E25" s="4" t="inlineStr">
        <is>
          <t>etwas beitragen (zu + Dat.)</t>
        </is>
      </c>
      <c r="F25" s="4" t="inlineStr">
        <is>
          <t>contribuir a</t>
        </is>
      </c>
      <c r="G25" s="4" t="inlineStr">
        <is>
          <t>to make a contribution to</t>
        </is>
      </c>
      <c r="H25" s="4" t="inlineStr">
        <is>
          <t>der Beitrag ← bei- (alongside) + tragen (to carry) · leisten = to render/perform · Wörtlich: „einen Beitrag leisten</t>
        </is>
      </c>
      <c r="I25" s="4" t="inlineStr">
        <is>
          <t>,</t>
        </is>
      </c>
      <c r="J25" s="4" t="inlineStr">
        <is>
          <t>,</t>
        </is>
      </c>
      <c r="K25" s="4" t="inlineStr">
        <is>
          <t>,</t>
        </is>
      </c>
      <c r="L25" s="4" t="inlineStr">
        <is>
          <t>,</t>
        </is>
      </c>
    </row>
    <row r="26">
      <c r="A26" s="2" t="inlineStr">
        <is>
          <t>NVV025</t>
        </is>
      </c>
      <c r="B26" s="3" t="inlineStr">
        <is>
          <t>unter Beobachtung stehen</t>
        </is>
      </c>
      <c r="C26" s="2" t="inlineStr">
        <is>
          <t>unter + Dativ</t>
        </is>
      </c>
      <c r="D26" s="2" t="inlineStr">
        <is>
          <t>Formal</t>
        </is>
      </c>
      <c r="E26" s="2" t="inlineStr">
        <is>
          <t>beobachtet werden</t>
        </is>
      </c>
      <c r="F26" s="2" t="inlineStr">
        <is>
          <t>estar bajo vigilancia</t>
        </is>
      </c>
      <c r="G26" s="2" t="inlineStr">
        <is>
          <t>to be under observation/surveillance</t>
        </is>
      </c>
      <c r="H26" s="2" t="inlineStr">
        <is>
          <t>die Beobachtung ← be- + ob- + achten → beobachten + -ung · stehen = to stand · Wörtlich: „unter Beobachtung stehen</t>
        </is>
      </c>
      <c r="I26" s="2" t="inlineStr">
        <is>
          <t>,</t>
        </is>
      </c>
      <c r="J26" s="2" t="inlineStr">
        <is>
          <t>,</t>
        </is>
      </c>
      <c r="K26" s="2" t="inlineStr">
        <is>
          <t>,</t>
        </is>
      </c>
      <c r="L26" s="2" t="inlineStr">
        <is>
          <t>,</t>
        </is>
      </c>
    </row>
    <row r="27">
      <c r="A27" s="4" t="inlineStr">
        <is>
          <t>NVV026</t>
        </is>
      </c>
      <c r="B27" s="5" t="inlineStr">
        <is>
          <t>Berücksichtigung finden</t>
        </is>
      </c>
      <c r="C27" s="4" t="inlineStr">
        <is>
          <t>bei + Dativ</t>
        </is>
      </c>
      <c r="D27" s="4" t="inlineStr">
        <is>
          <t>R_OFFICIAL</t>
        </is>
      </c>
      <c r="E27" s="4" t="inlineStr">
        <is>
          <t>berücksichtigt werden</t>
        </is>
      </c>
      <c r="F27" s="4" t="inlineStr">
        <is>
          <t>ser considerado</t>
        </is>
      </c>
      <c r="G27" s="4" t="inlineStr">
        <is>
          <t>to be taken into consideration</t>
        </is>
      </c>
      <c r="H27" s="4" t="inlineStr">
        <is>
          <t>die Berücksichtigung ← be- + Rücksicht (consideration) + -ung · finden = to find · Wörtlich: „Berücksichtigung finden</t>
        </is>
      </c>
      <c r="I27" s="4" t="inlineStr">
        <is>
          <t>,</t>
        </is>
      </c>
      <c r="J27" s="4" t="inlineStr">
        <is>
          <t>,</t>
        </is>
      </c>
      <c r="K27" s="4" t="inlineStr">
        <is>
          <t>,</t>
        </is>
      </c>
      <c r="L27" s="4" t="inlineStr">
        <is>
          <t>,</t>
        </is>
      </c>
    </row>
    <row r="28">
      <c r="A28" s="2" t="inlineStr">
        <is>
          <t>NVV027</t>
        </is>
      </c>
      <c r="B28" s="3" t="inlineStr">
        <is>
          <t>einen Beschluss fassen</t>
        </is>
      </c>
      <c r="C28" s="2" t="inlineStr">
        <is>
          <t>über + Akkusativ</t>
        </is>
      </c>
      <c r="D28" s="2" t="inlineStr">
        <is>
          <t>R_OFFICIAL</t>
        </is>
      </c>
      <c r="E28" s="2" t="inlineStr">
        <is>
          <t>etwas beschließen</t>
        </is>
      </c>
      <c r="F28" s="2" t="inlineStr">
        <is>
          <t>tomar una decisión/resolución</t>
        </is>
      </c>
      <c r="G28" s="2" t="inlineStr">
        <is>
          <t>to pass a resolution / to reach a decision</t>
        </is>
      </c>
      <c r="H28" s="2" t="inlineStr">
        <is>
          <t>der Beschluss ← be- + schließen (to close/conclude) · fassen = to grasp · Wörtlich: „einen Beschluss fassen</t>
        </is>
      </c>
      <c r="I28" s="2" t="inlineStr">
        <is>
          <t>,</t>
        </is>
      </c>
      <c r="J28" s="2" t="inlineStr">
        <is>
          <t>,</t>
        </is>
      </c>
      <c r="K28" s="2" t="inlineStr">
        <is>
          <t>,</t>
        </is>
      </c>
      <c r="L28" s="2" t="inlineStr">
        <is>
          <t>,</t>
        </is>
      </c>
    </row>
    <row r="29">
      <c r="A29" s="4" t="inlineStr">
        <is>
          <t>NVV028</t>
        </is>
      </c>
      <c r="B29" s="5" t="inlineStr">
        <is>
          <t>Beschwerde einlegen/erheben gegen</t>
        </is>
      </c>
      <c r="C29" s="4" t="inlineStr">
        <is>
          <t>gegen + Akkusativ · bei + Dativ (Stelle)</t>
        </is>
      </c>
      <c r="D29" s="4" t="inlineStr">
        <is>
          <t>Legal</t>
        </is>
      </c>
      <c r="E29" s="4" t="inlineStr">
        <is>
          <t>sich offiziell beschweren</t>
        </is>
      </c>
      <c r="F29" s="4" t="inlineStr">
        <is>
          <t>presentar una queja (contra)</t>
        </is>
      </c>
      <c r="G29" s="4" t="inlineStr">
        <is>
          <t>to file/lodge a complaint (against)</t>
        </is>
      </c>
      <c r="H29" s="4" t="inlineStr">
        <is>
          <t>die Beschwerde ← be- + schwer (heavy) + -de → „Last, Klage</t>
        </is>
      </c>
      <c r="I29" s="4">
        <f> to lodge a grievance</f>
        <v/>
      </c>
      <c r="J29" s="4" t="inlineStr">
        <is>
          <t>eine formelle / schriftliche / offizielle Beschwerde einlegen · Beschwerde wegen + Gen.</t>
        </is>
      </c>
      <c r="K29" s="4" t="inlineStr">
        <is>
          <t>Gegen die Beschlüsse der EU-Kommission legten mehrere Staaten Beschwerde ein.</t>
        </is>
      </c>
      <c r="L29" s="4" t="inlineStr">
        <is>
          <t>Varios estados presentaron quejas contra las decisiones de la Comisión Europea.</t>
        </is>
      </c>
    </row>
    <row r="30">
      <c r="A30" s="2" t="inlineStr">
        <is>
          <t>NVV029</t>
        </is>
      </c>
      <c r="B30" s="3" t="inlineStr">
        <is>
          <t>etwas in Betracht ziehen</t>
        </is>
      </c>
      <c r="C30" s="2" t="inlineStr">
        <is>
          <t>in + Akkusativ</t>
        </is>
      </c>
      <c r="D30" s="2" t="inlineStr">
        <is>
          <t>Formal</t>
        </is>
      </c>
      <c r="E30" s="2" t="inlineStr">
        <is>
          <t>etwas erwägen/überlegen</t>
        </is>
      </c>
      <c r="F30" s="2" t="inlineStr">
        <is>
          <t>considerar / tener en cuenta</t>
        </is>
      </c>
      <c r="G30" s="2" t="inlineStr">
        <is>
          <t>to take into consideration</t>
        </is>
      </c>
      <c r="H30" s="2" t="inlineStr">
        <is>
          <t>die Betracht ← be- + trachten (to look at) · ziehen = to pull · Wörtlich: „in Betrachtung ziehen</t>
        </is>
      </c>
      <c r="I30" s="2" t="inlineStr">
        <is>
          <t>,</t>
        </is>
      </c>
      <c r="J30" s="2" t="inlineStr">
        <is>
          <t>,</t>
        </is>
      </c>
      <c r="K30" s="2" t="inlineStr">
        <is>
          <t>,</t>
        </is>
      </c>
      <c r="L30" s="2" t="inlineStr">
        <is>
          <t>,</t>
        </is>
      </c>
    </row>
    <row r="31">
      <c r="A31" s="4" t="inlineStr">
        <is>
          <t>NVV030</t>
        </is>
      </c>
      <c r="B31" s="5" t="inlineStr">
        <is>
          <t>in Bewegung geraten/kommen</t>
        </is>
      </c>
      <c r="C31" s="4" t="inlineStr">
        <is>
          <t>in + Akkusativ</t>
        </is>
      </c>
      <c r="D31" s="4" t="inlineStr">
        <is>
          <t>Neutral</t>
        </is>
      </c>
      <c r="E31" s="4" t="inlineStr">
        <is>
          <t>sich bewegen / in Gang kommen</t>
        </is>
      </c>
      <c r="F31" s="4" t="inlineStr">
        <is>
          <t>ponerse en movimiento</t>
        </is>
      </c>
      <c r="G31" s="4" t="inlineStr">
        <is>
          <t>to get moving / to start to move</t>
        </is>
      </c>
      <c r="H31" s="4" t="inlineStr">
        <is>
          <t>die Bewegung ← be- + wegen (to move) + -ung · geraten = to get into · Wörtlich: „in Bewegung geraten</t>
        </is>
      </c>
      <c r="I31" s="4" t="inlineStr">
        <is>
          <t>,</t>
        </is>
      </c>
      <c r="J31" s="4" t="inlineStr">
        <is>
          <t>,</t>
        </is>
      </c>
      <c r="K31" s="4" t="inlineStr">
        <is>
          <t>,</t>
        </is>
      </c>
      <c r="L31" s="4" t="inlineStr">
        <is>
          <t>,</t>
        </is>
      </c>
    </row>
    <row r="32">
      <c r="A32" s="2" t="inlineStr">
        <is>
          <t>NVV031</t>
        </is>
      </c>
      <c r="B32" s="3" t="inlineStr">
        <is>
          <t>unter Beweis stellen</t>
        </is>
      </c>
      <c r="C32" s="2" t="inlineStr">
        <is>
          <t>unter + Akkusativ</t>
        </is>
      </c>
      <c r="D32" s="2" t="inlineStr">
        <is>
          <t>Formal</t>
        </is>
      </c>
      <c r="E32" s="2" t="inlineStr">
        <is>
          <t>etwas beweisen</t>
        </is>
      </c>
      <c r="F32" s="2" t="inlineStr">
        <is>
          <t>demostrar</t>
        </is>
      </c>
      <c r="G32" s="2" t="inlineStr">
        <is>
          <t>to demonstrate / to prove</t>
        </is>
      </c>
      <c r="H32" s="2" t="inlineStr">
        <is>
          <t>der Beweis ← be- + weisen (to show/point) · stellen = to place · Wörtlich: „unter Beweis stellen</t>
        </is>
      </c>
      <c r="I32" s="2" t="inlineStr">
        <is>
          <t>,</t>
        </is>
      </c>
      <c r="J32" s="2" t="inlineStr">
        <is>
          <t>,</t>
        </is>
      </c>
      <c r="K32" s="2" t="inlineStr">
        <is>
          <t>,</t>
        </is>
      </c>
      <c r="L32" s="2" t="inlineStr">
        <is>
          <t>,</t>
        </is>
      </c>
    </row>
    <row r="33">
      <c r="A33" s="4" t="inlineStr">
        <is>
          <t>NVV032</t>
        </is>
      </c>
      <c r="B33" s="5" t="inlineStr">
        <is>
          <t>Bezug nehmen auf</t>
        </is>
      </c>
      <c r="C33" s="4" t="inlineStr">
        <is>
          <t>auf + Akkusativ</t>
        </is>
      </c>
      <c r="D33" s="4" t="inlineStr">
        <is>
          <t>Formal Written</t>
        </is>
      </c>
      <c r="E33" s="4" t="inlineStr">
        <is>
          <t>sich auf etwas beziehen</t>
        </is>
      </c>
      <c r="F33" s="4" t="inlineStr">
        <is>
          <t>hacer referencia a</t>
        </is>
      </c>
      <c r="G33" s="4" t="inlineStr">
        <is>
          <t>to refer to / to make reference to</t>
        </is>
      </c>
      <c r="H33" s="4" t="inlineStr">
        <is>
          <t>der Bezug ← be- + ziehen (to pull) → „Beziehung</t>
        </is>
      </c>
      <c r="I33" s="4">
        <f> to take reference</f>
        <v/>
      </c>
      <c r="J33" s="4" t="inlineStr">
        <is>
          <t>Bezug nehmen auf ein Schreiben / ein Gespräch / eine Vereinbarung · unter / mit Bezug auf + Akk.</t>
        </is>
      </c>
      <c r="K33" s="4" t="inlineStr">
        <is>
          <t>Ich nehme Bezug auf Ihr Schreiben vom 25. März.</t>
        </is>
      </c>
      <c r="L33" s="4" t="inlineStr">
        <is>
          <t>Hago referencia a su escrito del 25 de marzo.</t>
        </is>
      </c>
    </row>
    <row r="34">
      <c r="A34" s="2" t="inlineStr">
        <is>
          <t>NVV033</t>
        </is>
      </c>
      <c r="B34" s="3" t="inlineStr">
        <is>
          <t>Bilanz ziehen</t>
        </is>
      </c>
      <c r="C34" s="2" t="inlineStr">
        <is>
          <t>— (optional: über + Akk / aus + Dat)</t>
        </is>
      </c>
      <c r="D34" s="2" t="inlineStr">
        <is>
          <t>Business</t>
        </is>
      </c>
      <c r="E34" s="2" t="inlineStr">
        <is>
          <t>etwas abschließend bewerten</t>
        </is>
      </c>
      <c r="F34" s="2" t="inlineStr">
        <is>
          <t>hacer balance</t>
        </is>
      </c>
      <c r="G34" s="2" t="inlineStr">
        <is>
          <t>to take stock / to draw up a balance</t>
        </is>
      </c>
      <c r="H34" s="2" t="inlineStr">
        <is>
          <t>die Bilanz ← ital. bilancia (balance/scales) · ziehen = to draw · Wörtlich: „eine Bilanz ziehen</t>
        </is>
      </c>
      <c r="I34" s="2" t="inlineStr">
        <is>
          <t>,</t>
        </is>
      </c>
      <c r="J34" s="2" t="inlineStr">
        <is>
          <t>,</t>
        </is>
      </c>
      <c r="K34" s="2" t="inlineStr">
        <is>
          <t>,</t>
        </is>
      </c>
      <c r="L34" s="2" t="inlineStr">
        <is>
          <t>,</t>
        </is>
      </c>
    </row>
    <row r="35">
      <c r="A35" s="4" t="inlineStr">
        <is>
          <t>NVV034</t>
        </is>
      </c>
      <c r="B35" s="5" t="inlineStr">
        <is>
          <t>etwas zur Diskussion stellen / stehen</t>
        </is>
      </c>
      <c r="C35" s="4" t="inlineStr">
        <is>
          <t>zur (zu + der) + Dativ</t>
        </is>
      </c>
      <c r="D35" s="4" t="inlineStr">
        <is>
          <t>Formal</t>
        </is>
      </c>
      <c r="E35" s="4" t="inlineStr">
        <is>
          <t>etwas diskutieren / diskutiert werden</t>
        </is>
      </c>
      <c r="F35" s="4" t="inlineStr">
        <is>
          <t>poner a debate / estar en debate</t>
        </is>
      </c>
      <c r="G35" s="4" t="inlineStr">
        <is>
          <t>to put up for discussion / to be under discussion</t>
        </is>
      </c>
      <c r="H35" s="4" t="inlineStr">
        <is>
          <t>die Diskussion ← lat. discussio (examination) · stellen = to place · stehen = to stand · Wörtlich: „zur Diskussion stellen</t>
        </is>
      </c>
      <c r="I35" s="4" t="inlineStr">
        <is>
          <t>,</t>
        </is>
      </c>
      <c r="J35" s="4" t="inlineStr">
        <is>
          <t>,</t>
        </is>
      </c>
      <c r="K35" s="4" t="inlineStr">
        <is>
          <t>,</t>
        </is>
      </c>
      <c r="L35" s="4" t="inlineStr">
        <is>
          <t>,</t>
        </is>
      </c>
    </row>
    <row r="36">
      <c r="A36" s="2" t="inlineStr">
        <is>
          <t>NVV035</t>
        </is>
      </c>
      <c r="B36" s="3" t="inlineStr">
        <is>
          <t>jemanden unter Druck setzen / stehen</t>
        </is>
      </c>
      <c r="C36" s="2" t="inlineStr">
        <is>
          <t>unter + Akkusativ (setzen) · unter + Dativ (stehen)</t>
        </is>
      </c>
      <c r="D36" s="2" t="inlineStr">
        <is>
          <t>Neutral</t>
        </is>
      </c>
      <c r="E36" s="2" t="inlineStr">
        <is>
          <t>jemanden bedrängen / bedrängt werden</t>
        </is>
      </c>
      <c r="F36" s="2" t="inlineStr">
        <is>
          <t>presionar a alguien / estar bajo presión</t>
        </is>
      </c>
      <c r="G36" s="2" t="inlineStr">
        <is>
          <t>to put s.o. under pressure / to be under pressure</t>
        </is>
      </c>
      <c r="H36" s="2" t="inlineStr">
        <is>
          <t>der Druck = pressure · setzen = to set · stehen = to stand · Wörtlich: „unter Druck setzen</t>
        </is>
      </c>
      <c r="I36" s="2" t="inlineStr">
        <is>
          <t>,</t>
        </is>
      </c>
      <c r="J36" s="2" t="inlineStr">
        <is>
          <t>,</t>
        </is>
      </c>
      <c r="K36" s="2" t="inlineStr">
        <is>
          <t>,</t>
        </is>
      </c>
      <c r="L36" s="2" t="inlineStr">
        <is>
          <t>,</t>
        </is>
      </c>
    </row>
    <row r="37">
      <c r="A37" s="4" t="inlineStr">
        <is>
          <t>NVV036</t>
        </is>
      </c>
      <c r="B37" s="5" t="inlineStr">
        <is>
          <t>einen Eindruck machen auf</t>
        </is>
      </c>
      <c r="C37" s="4" t="inlineStr">
        <is>
          <t>auf + Akkusativ</t>
        </is>
      </c>
      <c r="D37" s="4" t="inlineStr">
        <is>
          <t>Neutral</t>
        </is>
      </c>
      <c r="E37" s="4" t="inlineStr">
        <is>
          <t>jemanden beeindrucken</t>
        </is>
      </c>
      <c r="F37" s="4" t="inlineStr">
        <is>
          <t>causar una impresión a</t>
        </is>
      </c>
      <c r="G37" s="4" t="inlineStr">
        <is>
          <t>to make an impression on</t>
        </is>
      </c>
      <c r="H37" s="4" t="inlineStr">
        <is>
          <t>der Eindruck ← ein- (in) + drücken (to press) · machen = to make · Wörtlich: „einen Eindruck machen</t>
        </is>
      </c>
      <c r="I37" s="4" t="inlineStr">
        <is>
          <t>,</t>
        </is>
      </c>
      <c r="J37" s="4" t="inlineStr">
        <is>
          <t>,</t>
        </is>
      </c>
      <c r="K37" s="4" t="inlineStr">
        <is>
          <t>,</t>
        </is>
      </c>
      <c r="L37" s="4" t="inlineStr">
        <is>
          <t>,</t>
        </is>
      </c>
    </row>
    <row r="38">
      <c r="A38" s="2" t="inlineStr">
        <is>
          <t>NVV037</t>
        </is>
      </c>
      <c r="B38" s="3" t="inlineStr">
        <is>
          <t>den Eindruck gewinnen/haben</t>
        </is>
      </c>
      <c r="C38" s="2" t="inlineStr">
        <is>
          <t>— (oft mit Nebensatz: dass …)</t>
        </is>
      </c>
      <c r="D38" s="2" t="inlineStr">
        <is>
          <t>Neutral</t>
        </is>
      </c>
      <c r="E38" s="2" t="inlineStr">
        <is>
          <t>denken / den Anschein haben</t>
        </is>
      </c>
      <c r="F38" s="2" t="inlineStr">
        <is>
          <t>tener la impresión</t>
        </is>
      </c>
      <c r="G38" s="2" t="inlineStr">
        <is>
          <t>to get/have the impression</t>
        </is>
      </c>
      <c r="H38" s="2" t="inlineStr">
        <is>
          <t>gewinnen = to win/gain · Wörtlich: „den Eindruck gewinnen</t>
        </is>
      </c>
      <c r="I38" s="2" t="inlineStr">
        <is>
          <t>,</t>
        </is>
      </c>
      <c r="J38" s="2" t="inlineStr">
        <is>
          <t>,</t>
        </is>
      </c>
      <c r="K38" s="2" t="inlineStr">
        <is>
          <t>,</t>
        </is>
      </c>
      <c r="L38" s="2" t="inlineStr">
        <is>
          <t>,</t>
        </is>
      </c>
    </row>
    <row r="39">
      <c r="A39" s="4" t="inlineStr">
        <is>
          <t>NVV038</t>
        </is>
      </c>
      <c r="B39" s="5" t="inlineStr">
        <is>
          <t>Eindruck schinden</t>
        </is>
      </c>
      <c r="C39" s="4" t="inlineStr">
        <is>
          <t>— (kein Präposition nötig) · bei + Dativ</t>
        </is>
      </c>
      <c r="D39" s="4" t="inlineStr">
        <is>
          <t>Colloquial</t>
        </is>
      </c>
      <c r="E39" s="4" t="inlineStr">
        <is>
          <t>andere beeindrucken wollen (negativ konnotiert)</t>
        </is>
      </c>
      <c r="F39" s="4" t="inlineStr">
        <is>
          <t>querer impresionar (peyorativo)</t>
        </is>
      </c>
      <c r="G39" s="4" t="inlineStr">
        <is>
          <t>to show off / to try to impress (derogatory)</t>
        </is>
      </c>
      <c r="H39" s="4" t="inlineStr">
        <is>
          <t>schinden = to flay/overwork (alt: Schinder = Abdecker) · Konnotation: negativ — künstlich, übertrieben · ≠ „Eindruck machen</t>
        </is>
      </c>
      <c r="I39" s="4" t="inlineStr">
        <is>
          <t>,</t>
        </is>
      </c>
      <c r="J39" s="4" t="inlineStr">
        <is>
          <t>,</t>
        </is>
      </c>
      <c r="K39" s="4" t="inlineStr">
        <is>
          <t>,</t>
        </is>
      </c>
      <c r="L39" s="4" t="inlineStr">
        <is>
          <t>,</t>
        </is>
      </c>
    </row>
    <row r="40">
      <c r="A40" s="2" t="inlineStr">
        <is>
          <t>NVV039</t>
        </is>
      </c>
      <c r="B40" s="3" t="inlineStr">
        <is>
          <t>einen Eindruck erwecken</t>
        </is>
      </c>
      <c r="C40" s="2" t="inlineStr">
        <is>
          <t>— (oft mit Nebensatz: als ob …)</t>
        </is>
      </c>
      <c r="D40" s="2" t="inlineStr">
        <is>
          <t>Formal</t>
        </is>
      </c>
      <c r="E40" s="2" t="inlineStr">
        <is>
          <t>so wirken als ob</t>
        </is>
      </c>
      <c r="F40" s="2" t="inlineStr">
        <is>
          <t>dar la impresión de</t>
        </is>
      </c>
      <c r="G40" s="2" t="inlineStr">
        <is>
          <t>to give the impression</t>
        </is>
      </c>
      <c r="H40" s="2" t="inlineStr">
        <is>
          <t>erwecken = to awaken/arouse · Wörtlich: „einen Eindruck erwecken</t>
        </is>
      </c>
      <c r="I40" s="2" t="inlineStr">
        <is>
          <t>,</t>
        </is>
      </c>
      <c r="J40" s="2" t="inlineStr">
        <is>
          <t>,</t>
        </is>
      </c>
      <c r="K40" s="2" t="inlineStr">
        <is>
          <t>,</t>
        </is>
      </c>
      <c r="L40" s="2" t="inlineStr">
        <is>
          <t>,</t>
        </is>
      </c>
    </row>
    <row r="41">
      <c r="A41" s="4" t="inlineStr">
        <is>
          <t>NVV040</t>
        </is>
      </c>
      <c r="B41" s="5" t="inlineStr">
        <is>
          <t>Einfluss ausüben/nehmen auf</t>
        </is>
      </c>
      <c r="C41" s="4" t="inlineStr">
        <is>
          <t>auf + Akkusativ · unter + Dat (stehen)</t>
        </is>
      </c>
      <c r="D41" s="4" t="inlineStr">
        <is>
          <t>Neutral</t>
        </is>
      </c>
      <c r="E41" s="4" t="inlineStr">
        <is>
          <t>etwas/jemanden beeinflussen / beeinflusst werden</t>
        </is>
      </c>
      <c r="F41" s="4" t="inlineStr">
        <is>
          <t>ejercer/tener influencia sobre</t>
        </is>
      </c>
      <c r="G41" s="4" t="inlineStr">
        <is>
          <t>to exert/have influence on</t>
        </is>
      </c>
      <c r="H41" s="4" t="inlineStr">
        <is>
          <t>der Einfluss ← ein- + fließen (to flow) · ausüben = to exercise · Wörtlich: „Einfluss ausüben</t>
        </is>
      </c>
      <c r="I41" s="4" t="inlineStr">
        <is>
          <t>,</t>
        </is>
      </c>
      <c r="J41" s="4" t="inlineStr">
        <is>
          <t>,</t>
        </is>
      </c>
      <c r="K41" s="4" t="inlineStr">
        <is>
          <t>,</t>
        </is>
      </c>
      <c r="L41" s="4" t="inlineStr">
        <is>
          <t>,</t>
        </is>
      </c>
    </row>
    <row r="42">
      <c r="A42" s="2" t="inlineStr">
        <is>
          <t>NVV041</t>
        </is>
      </c>
      <c r="B42" s="3" t="inlineStr">
        <is>
          <t>eine Einigung erzielen</t>
        </is>
      </c>
      <c r="C42" s="2" t="inlineStr">
        <is>
          <t>in + Dativ (Fragen) · über + Akk (Thema)</t>
        </is>
      </c>
      <c r="D42" s="2" t="inlineStr">
        <is>
          <t>Formal</t>
        </is>
      </c>
      <c r="E42" s="2" t="inlineStr">
        <is>
          <t>sich einigen</t>
        </is>
      </c>
      <c r="F42" s="2" t="inlineStr">
        <is>
          <t>llegar a un acuerdo</t>
        </is>
      </c>
      <c r="G42" s="2" t="inlineStr">
        <is>
          <t>to reach an agreement</t>
        </is>
      </c>
      <c r="H42" s="2" t="inlineStr">
        <is>
          <t>die Einigung ← ein- (one) + -igung → „eins werden</t>
        </is>
      </c>
      <c r="I42" s="2">
        <f> to achieve a unification</f>
        <v/>
      </c>
      <c r="J42" s="2" t="inlineStr">
        <is>
          <t>eine schnelle / schwierige / politische Einigung erzielen · zu einer Einigung kommen / gelangen</t>
        </is>
      </c>
      <c r="K42" s="2" t="inlineStr">
        <is>
          <t>Ärzte und Krankenkassen konnten in den strittigen Fragen eine Einigung erzielen.</t>
        </is>
      </c>
      <c r="L42" s="2" t="inlineStr">
        <is>
          <t>Médicos y aseguradoras lograron llegar a un acuerdo en las cuestiones en disputa.</t>
        </is>
      </c>
    </row>
    <row r="43">
      <c r="A43" s="4" t="inlineStr">
        <is>
          <t>NVV042</t>
        </is>
      </c>
      <c r="B43" s="5" t="inlineStr">
        <is>
          <t>Einsicht nehmen in</t>
        </is>
      </c>
      <c r="C43" s="4" t="inlineStr">
        <is>
          <t>in + Akkusativ</t>
        </is>
      </c>
      <c r="D43" s="4" t="inlineStr">
        <is>
          <t>R_OFFICIAL</t>
        </is>
      </c>
      <c r="E43" s="4" t="inlineStr">
        <is>
          <t>etwas einsehen / Einblick bekommen</t>
        </is>
      </c>
      <c r="F43" s="4" t="inlineStr">
        <is>
          <t>consultar / examinar</t>
        </is>
      </c>
      <c r="G43" s="4" t="inlineStr">
        <is>
          <t>to inspect / to review (documents)</t>
        </is>
      </c>
      <c r="H43" s="4" t="inlineStr">
        <is>
          <t>die Einsicht ← ein- (in) + Sicht (sight) · nehmen = to take · Wörtlich: „Einsicht nehmen</t>
        </is>
      </c>
      <c r="I43" s="4" t="inlineStr">
        <is>
          <t>,</t>
        </is>
      </c>
      <c r="J43" s="4" t="inlineStr">
        <is>
          <t>,</t>
        </is>
      </c>
      <c r="K43" s="4" t="inlineStr">
        <is>
          <t>,</t>
        </is>
      </c>
      <c r="L43" s="4" t="inlineStr">
        <is>
          <t>,</t>
        </is>
      </c>
    </row>
    <row r="44">
      <c r="A44" s="2" t="inlineStr">
        <is>
          <t>NVV043</t>
        </is>
      </c>
      <c r="B44" s="3" t="inlineStr">
        <is>
          <t>in Empfang nehmen</t>
        </is>
      </c>
      <c r="C44" s="2" t="inlineStr">
        <is>
          <t>in + Akkusativ</t>
        </is>
      </c>
      <c r="D44" s="2" t="inlineStr">
        <is>
          <t>Formal</t>
        </is>
      </c>
      <c r="E44" s="2" t="inlineStr">
        <is>
          <t>jemanden/etwas empfangen</t>
        </is>
      </c>
      <c r="F44" s="2" t="inlineStr">
        <is>
          <t>recibir</t>
        </is>
      </c>
      <c r="G44" s="2" t="inlineStr">
        <is>
          <t>to receive / to welcome</t>
        </is>
      </c>
      <c r="H44" s="2" t="inlineStr">
        <is>
          <t>der Empfang ← emp- (ent-) + fangen (to catch) → „auffangen</t>
        </is>
      </c>
      <c r="I44" s="2">
        <f> to take into reception</f>
        <v/>
      </c>
      <c r="J44" s="2" t="inlineStr">
        <is>
          <t>jmdn. / ein Paket / einen Preis in Empfang nehmen · feierlich / herzlich in Empfang nehmen</t>
        </is>
      </c>
      <c r="K44" s="2" t="inlineStr">
        <is>
          <t>Frau Müller nimmt die Gäste in Empfang.</t>
        </is>
      </c>
      <c r="L44" s="2" t="inlineStr">
        <is>
          <t>La señora Müller recibe a los invitados.</t>
        </is>
      </c>
    </row>
    <row r="45">
      <c r="A45" s="4" t="inlineStr">
        <is>
          <t>NVV044</t>
        </is>
      </c>
      <c r="B45" s="5" t="inlineStr">
        <is>
          <t>eine Entscheidung treffen</t>
        </is>
      </c>
      <c r="C45" s="4" t="inlineStr">
        <is>
          <t>über + Akkusativ</t>
        </is>
      </c>
      <c r="D45" s="4" t="inlineStr">
        <is>
          <t>Neutral</t>
        </is>
      </c>
      <c r="E45" s="4" t="inlineStr">
        <is>
          <t>sich entscheiden</t>
        </is>
      </c>
      <c r="F45" s="4" t="inlineStr">
        <is>
          <t>tomar una decisión</t>
        </is>
      </c>
      <c r="G45" s="4" t="inlineStr">
        <is>
          <t>to make a decision</t>
        </is>
      </c>
      <c r="H45" s="4" t="inlineStr">
        <is>
          <t>die Entscheidung ← ent- (de-/un-) + scheiden (to separate) + -ung · treffen = to hit/meet · Wörtlich: „eine Entscheidung treffen</t>
        </is>
      </c>
      <c r="I45" s="4" t="inlineStr">
        <is>
          <t>,</t>
        </is>
      </c>
      <c r="J45" s="4" t="inlineStr">
        <is>
          <t>,</t>
        </is>
      </c>
      <c r="K45" s="4" t="inlineStr">
        <is>
          <t>,</t>
        </is>
      </c>
      <c r="L45" s="4" t="inlineStr">
        <is>
          <t>,</t>
        </is>
      </c>
    </row>
    <row r="46">
      <c r="A46" s="2" t="inlineStr">
        <is>
          <t>NVV045</t>
        </is>
      </c>
      <c r="B46" s="3" t="inlineStr">
        <is>
          <t>einen Entschluss fassen</t>
        </is>
      </c>
      <c r="C46" s="2" t="inlineStr">
        <is>
          <t>zu + Dativ / Infinitiv</t>
        </is>
      </c>
      <c r="D46" s="2" t="inlineStr">
        <is>
          <t>Formal</t>
        </is>
      </c>
      <c r="E46" s="2" t="inlineStr">
        <is>
          <t>sich zu etwas entschließen</t>
        </is>
      </c>
      <c r="F46" s="2" t="inlineStr">
        <is>
          <t>tomar una resolución</t>
        </is>
      </c>
      <c r="G46" s="2" t="inlineStr">
        <is>
          <t>to make a resolution / to resolve</t>
        </is>
      </c>
      <c r="H46" s="2" t="inlineStr">
        <is>
          <t>der Entschluss ← ent- + schließen (to close) → „sich entschließen</t>
        </is>
      </c>
      <c r="I46" s="2">
        <f> to grasp a resolution</f>
        <v/>
      </c>
      <c r="J46" s="2" t="inlineStr">
        <is>
          <t>einen festen / mutigen / plötzlichen / spontanen Entschluss fassen</t>
        </is>
      </c>
      <c r="K46" s="2" t="inlineStr">
        <is>
          <t>Nach langer Überlegung fasste er den Entschluss, sein Studium abzubrechen.</t>
        </is>
      </c>
      <c r="L46" s="2" t="inlineStr">
        <is>
          <t>Tras larga reflexión, tomó la resolución de abandonar sus estudios.</t>
        </is>
      </c>
    </row>
    <row r="47">
      <c r="A47" s="4" t="inlineStr">
        <is>
          <t>NVV046</t>
        </is>
      </c>
      <c r="B47" s="5" t="inlineStr">
        <is>
          <t>in Erfüllung gehen</t>
        </is>
      </c>
      <c r="C47" s="4" t="inlineStr">
        <is>
          <t>in + Akkusativ</t>
        </is>
      </c>
      <c r="D47" s="4" t="inlineStr">
        <is>
          <t>Solemn</t>
        </is>
      </c>
      <c r="E47" s="4" t="inlineStr">
        <is>
          <t>erfüllt werden</t>
        </is>
      </c>
      <c r="F47" s="4" t="inlineStr">
        <is>
          <t>cumplirse</t>
        </is>
      </c>
      <c r="G47" s="4" t="inlineStr">
        <is>
          <t>to come true / to be fulfilled</t>
        </is>
      </c>
      <c r="H47" s="4" t="inlineStr">
        <is>
          <t>die Erfüllung ← er- + füllen (to fill) + -ung · gehen = to go · Wörtlich: „in Erfüllung gehen</t>
        </is>
      </c>
      <c r="I47" s="4" t="inlineStr">
        <is>
          <t>,</t>
        </is>
      </c>
      <c r="J47" s="4" t="inlineStr">
        <is>
          <t>,</t>
        </is>
      </c>
      <c r="K47" s="4" t="inlineStr">
        <is>
          <t>,</t>
        </is>
      </c>
      <c r="L47" s="4" t="inlineStr">
        <is>
          <t>,</t>
        </is>
      </c>
    </row>
    <row r="48">
      <c r="A48" s="2" t="inlineStr">
        <is>
          <t>NVV047</t>
        </is>
      </c>
      <c r="B48" s="3" t="inlineStr">
        <is>
          <t>Erinnerungen wecken</t>
        </is>
      </c>
      <c r="C48" s="2" t="inlineStr">
        <is>
          <t>an + Akkusativ</t>
        </is>
      </c>
      <c r="D48" s="2" t="inlineStr">
        <is>
          <t>Neutral</t>
        </is>
      </c>
      <c r="E48" s="2" t="inlineStr">
        <is>
          <t>jemanden an etwas erinnern</t>
        </is>
      </c>
      <c r="F48" s="2" t="inlineStr">
        <is>
          <t>despertar recuerdos (de)</t>
        </is>
      </c>
      <c r="G48" s="2" t="inlineStr">
        <is>
          <t>to bring back / awaken memories (of)</t>
        </is>
      </c>
      <c r="H48" s="2" t="inlineStr">
        <is>
          <t>die Erinnerung ← er- + innern (inner) + -ung · wecken = to wake/awaken · Wörtlich: „Erinnerungen wecken</t>
        </is>
      </c>
      <c r="I48" s="2" t="inlineStr">
        <is>
          <t>,</t>
        </is>
      </c>
      <c r="J48" s="2" t="inlineStr">
        <is>
          <t>,</t>
        </is>
      </c>
      <c r="K48" s="2" t="inlineStr">
        <is>
          <t>,</t>
        </is>
      </c>
      <c r="L48" s="2" t="inlineStr">
        <is>
          <t>,</t>
        </is>
      </c>
    </row>
    <row r="49">
      <c r="A49" s="4" t="inlineStr">
        <is>
          <t>NVV048</t>
        </is>
      </c>
      <c r="B49" s="5" t="inlineStr">
        <is>
          <t>eine Erklärung abgeben</t>
        </is>
      </c>
      <c r="C49" s="4" t="inlineStr">
        <is>
          <t>zu + Dativ</t>
        </is>
      </c>
      <c r="D49" s="4" t="inlineStr">
        <is>
          <t>R_OFFICIAL</t>
        </is>
      </c>
      <c r="E49" s="4" t="inlineStr">
        <is>
          <t>etwas erklären / erläutern</t>
        </is>
      </c>
      <c r="F49" s="4" t="inlineStr">
        <is>
          <t>hacer una declaración (sobre)</t>
        </is>
      </c>
      <c r="G49" s="4" t="inlineStr">
        <is>
          <t>to issue/make a statement (about)</t>
        </is>
      </c>
      <c r="H49" s="4" t="inlineStr">
        <is>
          <t>die Erklärung ← er- + klar (clear) + -ung · abgeben = to hand over / to issue · Wörtlich: „eine Erklärung abgeben</t>
        </is>
      </c>
      <c r="I49" s="4" t="inlineStr">
        <is>
          <t>,</t>
        </is>
      </c>
      <c r="J49" s="4" t="inlineStr">
        <is>
          <t>,</t>
        </is>
      </c>
      <c r="K49" s="4" t="inlineStr">
        <is>
          <t>,</t>
        </is>
      </c>
      <c r="L49" s="4" t="inlineStr">
        <is>
          <t>,</t>
        </is>
      </c>
    </row>
    <row r="50">
      <c r="A50" s="2" t="inlineStr">
        <is>
          <t>NVV049</t>
        </is>
      </c>
      <c r="B50" s="3" t="inlineStr">
        <is>
          <t>eine Erlaubnis erteilen/geben</t>
        </is>
      </c>
      <c r="C50" s="2" t="inlineStr">
        <is>
          <t>jmdm. (Dativ) · Infinitiv mit zu</t>
        </is>
      </c>
      <c r="D50" s="2" t="inlineStr">
        <is>
          <t>Formal</t>
        </is>
      </c>
      <c r="E50" s="2" t="inlineStr">
        <is>
          <t>jemandem etwas erlauben</t>
        </is>
      </c>
      <c r="F50" s="2" t="inlineStr">
        <is>
          <t>dar permiso (a alguien para)</t>
        </is>
      </c>
      <c r="G50" s="2" t="inlineStr">
        <is>
          <t>to grant/give permission (to)</t>
        </is>
      </c>
      <c r="H50" s="2" t="inlineStr">
        <is>
          <t>die Erlaubnis ← er- + lauben (alt: erlauben = to allow) · erteilen = to grant · Wörtlich: „eine Erlaubnis erteilen</t>
        </is>
      </c>
      <c r="I50" s="2" t="inlineStr">
        <is>
          <t>,</t>
        </is>
      </c>
      <c r="J50" s="2" t="inlineStr">
        <is>
          <t>,</t>
        </is>
      </c>
      <c r="K50" s="2" t="inlineStr">
        <is>
          <t>,</t>
        </is>
      </c>
      <c r="L50" s="2" t="inlineStr">
        <is>
          <t>,</t>
        </is>
      </c>
    </row>
    <row r="51">
      <c r="A51" s="4" t="inlineStr">
        <is>
          <t>NVV050</t>
        </is>
      </c>
      <c r="B51" s="5" t="inlineStr">
        <is>
          <t>in Erstaunen versetzen</t>
        </is>
      </c>
      <c r="C51" s="4" t="inlineStr">
        <is>
          <t>in + Akkusativ</t>
        </is>
      </c>
      <c r="D51" s="4" t="inlineStr">
        <is>
          <t>Formal</t>
        </is>
      </c>
      <c r="E51" s="4" t="inlineStr">
        <is>
          <t>jemanden erstaunen / überraschen</t>
        </is>
      </c>
      <c r="F51" s="4" t="inlineStr">
        <is>
          <t>asombrar</t>
        </is>
      </c>
      <c r="G51" s="4" t="inlineStr">
        <is>
          <t>to amaze / to astonish</t>
        </is>
      </c>
      <c r="H51" s="4" t="inlineStr">
        <is>
          <t>das Erstaunen ← er- + staunen (to be amazed) · versetzen = to transfer/put into · Wörtlich: „in Erstaunen versetzen</t>
        </is>
      </c>
      <c r="I51" s="4" t="inlineStr">
        <is>
          <t>,</t>
        </is>
      </c>
      <c r="J51" s="4" t="inlineStr">
        <is>
          <t>,</t>
        </is>
      </c>
      <c r="K51" s="4" t="inlineStr">
        <is>
          <t>,</t>
        </is>
      </c>
      <c r="L51" s="4" t="inlineStr">
        <is>
          <t>,</t>
        </is>
      </c>
    </row>
    <row r="52">
      <c r="A52" s="2" t="inlineStr">
        <is>
          <t>NVV051</t>
        </is>
      </c>
      <c r="B52" s="3" t="inlineStr">
        <is>
          <t>in Erwägung ziehen</t>
        </is>
      </c>
      <c r="C52" s="2" t="inlineStr">
        <is>
          <t>in + Akkusativ</t>
        </is>
      </c>
      <c r="D52" s="2" t="inlineStr">
        <is>
          <t>Formal Written</t>
        </is>
      </c>
      <c r="E52" s="2" t="inlineStr">
        <is>
          <t>etwas erwägen / über etwas nachdenken</t>
        </is>
      </c>
      <c r="F52" s="2" t="inlineStr">
        <is>
          <t>considerar</t>
        </is>
      </c>
      <c r="G52" s="2" t="inlineStr">
        <is>
          <t>to consider / to take into consideration</t>
        </is>
      </c>
      <c r="H52" s="2" t="inlineStr">
        <is>
          <t>die Erwägung ← er- + wägen (to weigh) + -ung · ziehen = to pull · Wörtlich: „in Erwägung ziehen</t>
        </is>
      </c>
      <c r="I52" s="2" t="inlineStr">
        <is>
          <t>,</t>
        </is>
      </c>
      <c r="J52" s="2" t="inlineStr">
        <is>
          <t>,</t>
        </is>
      </c>
      <c r="K52" s="2" t="inlineStr">
        <is>
          <t>,</t>
        </is>
      </c>
      <c r="L52" s="2" t="inlineStr">
        <is>
          <t>,</t>
        </is>
      </c>
    </row>
    <row r="53">
      <c r="A53" s="4" t="inlineStr">
        <is>
          <t>NVV052</t>
        </is>
      </c>
      <c r="B53" s="5" t="inlineStr">
        <is>
          <t>einen Fehler begehen/machen</t>
        </is>
      </c>
      <c r="C53" s="4" t="inlineStr">
        <is>
          <t>— (kein Präposition nötig)</t>
        </is>
      </c>
      <c r="D53" s="4" t="inlineStr">
        <is>
          <t>Neutral + Formal</t>
        </is>
      </c>
      <c r="E53" s="4" t="inlineStr"/>
      <c r="F53" s="4" t="inlineStr">
        <is>
          <t>sich falsch verhalten / einsichtig sein</t>
        </is>
      </c>
      <c r="G53" s="4" t="inlineStr">
        <is>
          <t>cometer un error</t>
        </is>
      </c>
      <c r="H53" s="4" t="inlineStr">
        <is>
          <t>to make/commit a mistake</t>
        </is>
      </c>
      <c r="I53" s="4" t="inlineStr">
        <is>
          <t>der Fehler ← mhd. vēler (Mangel) · begehen = to commit (formal) · machen = to make (neutral) · einräumen / zugeben = to admit · ⚠️ begehen = formeller als machen</t>
        </is>
      </c>
      <c r="J53" s="4" t="inlineStr">
        <is>
          <t>einen schweren / groben / unverzeihlichen / kleinen Fehler begehen · einen Fehler eingestehen / einräumen / korrigieren</t>
        </is>
      </c>
      <c r="K53" s="4" t="inlineStr">
        <is>
          <t>Otto hat einen Fehler begangen. Der Politiker hat den Fehler zugegeben.</t>
        </is>
      </c>
      <c r="L53" s="4" t="inlineStr">
        <is>
          <t>Otto cometió un error. El político admitió el error.</t>
        </is>
      </c>
    </row>
    <row r="54">
      <c r="A54" s="2" t="inlineStr">
        <is>
          <t>NVV053</t>
        </is>
      </c>
      <c r="B54" s="3" t="inlineStr">
        <is>
          <t>zur Folge haben</t>
        </is>
      </c>
      <c r="C54" s="2" t="inlineStr">
        <is>
          <t>— (kein Präposition nötig)</t>
        </is>
      </c>
      <c r="D54" s="2" t="inlineStr">
        <is>
          <t>Formal Written</t>
        </is>
      </c>
      <c r="E54" s="2" t="inlineStr">
        <is>
          <t>aus etwas folgen / als Konsequenz haben</t>
        </is>
      </c>
      <c r="F54" s="2" t="inlineStr">
        <is>
          <t>tener como consecuencia</t>
        </is>
      </c>
      <c r="G54" s="2" t="inlineStr">
        <is>
          <t>to result in / to have as a consequence</t>
        </is>
      </c>
      <c r="H54" s="2" t="inlineStr">
        <is>
          <t>die Folge = consequence/result · haben = to have · Wörtlich: „zur Folge haben</t>
        </is>
      </c>
      <c r="I54" s="2" t="inlineStr">
        <is>
          <t>,</t>
        </is>
      </c>
      <c r="J54" s="2" t="inlineStr">
        <is>
          <t>,</t>
        </is>
      </c>
      <c r="K54" s="2" t="inlineStr">
        <is>
          <t>,</t>
        </is>
      </c>
      <c r="L54" s="2" t="inlineStr">
        <is>
          <t>,</t>
        </is>
      </c>
    </row>
    <row r="55">
      <c r="A55" s="4" t="inlineStr">
        <is>
          <t>NVV054</t>
        </is>
      </c>
      <c r="B55" s="5" t="inlineStr">
        <is>
          <t>eine Forderung stellen</t>
        </is>
      </c>
      <c r="C55" s="4" t="inlineStr">
        <is>
          <t>an + Akkusativ · nach + Dativ</t>
        </is>
      </c>
      <c r="D55" s="4" t="inlineStr">
        <is>
          <t>Neutral</t>
        </is>
      </c>
      <c r="E55" s="4" t="inlineStr">
        <is>
          <t>etwas fordern</t>
        </is>
      </c>
      <c r="F55" s="4" t="inlineStr">
        <is>
          <t>hacer una exigencia</t>
        </is>
      </c>
      <c r="G55" s="4" t="inlineStr">
        <is>
          <t>to make a demand</t>
        </is>
      </c>
      <c r="H55" s="4" t="inlineStr">
        <is>
          <t>die Forderung ← fordern (to demand) + -ung · stellen = to place · Wörtlich: „eine Forderung stellen</t>
        </is>
      </c>
      <c r="I55" s="4" t="inlineStr">
        <is>
          <t>,</t>
        </is>
      </c>
      <c r="J55" s="4" t="inlineStr">
        <is>
          <t>,</t>
        </is>
      </c>
      <c r="K55" s="4" t="inlineStr">
        <is>
          <t>,</t>
        </is>
      </c>
      <c r="L55" s="4" t="inlineStr">
        <is>
          <t>,</t>
        </is>
      </c>
    </row>
    <row r="56">
      <c r="A56" s="2" t="inlineStr">
        <is>
          <t>NVV055</t>
        </is>
      </c>
      <c r="B56" s="3" t="inlineStr">
        <is>
          <t>eine Frage stellen</t>
        </is>
      </c>
      <c r="C56" s="2" t="inlineStr">
        <is>
          <t>jmdm. (Dativ) · zu + Dativ (Thema)</t>
        </is>
      </c>
      <c r="D56" s="2" t="inlineStr">
        <is>
          <t>Neutral</t>
        </is>
      </c>
      <c r="E56" s="2" t="inlineStr">
        <is>
          <t>etwas fragen</t>
        </is>
      </c>
      <c r="F56" s="2" t="inlineStr">
        <is>
          <t>hacer una pregunta</t>
        </is>
      </c>
      <c r="G56" s="2" t="inlineStr">
        <is>
          <t>to ask a question</t>
        </is>
      </c>
      <c r="H56" s="2" t="inlineStr">
        <is>
          <t>die Frage ← fragen (to ask) · stellen = to place · Wörtlich: „eine Frage stellen</t>
        </is>
      </c>
      <c r="I56" s="2" t="inlineStr">
        <is>
          <t>,</t>
        </is>
      </c>
      <c r="J56" s="2" t="inlineStr">
        <is>
          <t>,</t>
        </is>
      </c>
      <c r="K56" s="2" t="inlineStr">
        <is>
          <t>,</t>
        </is>
      </c>
      <c r="L56" s="2" t="inlineStr">
        <is>
          <t>,</t>
        </is>
      </c>
    </row>
    <row r="57">
      <c r="A57" s="4" t="inlineStr">
        <is>
          <t>NVV056</t>
        </is>
      </c>
      <c r="B57" s="5" t="inlineStr">
        <is>
          <t>in Gefahr bringen</t>
        </is>
      </c>
      <c r="C57" s="4" t="inlineStr">
        <is>
          <t>in + Akkusativ</t>
        </is>
      </c>
      <c r="D57" s="4" t="inlineStr">
        <is>
          <t>Neutral</t>
        </is>
      </c>
      <c r="E57" s="4" t="inlineStr">
        <is>
          <t>jemanden/etwas gefährden</t>
        </is>
      </c>
      <c r="F57" s="4" t="inlineStr">
        <is>
          <t>poner en peligro</t>
        </is>
      </c>
      <c r="G57" s="4" t="inlineStr">
        <is>
          <t>to endanger / to put at risk</t>
        </is>
      </c>
      <c r="H57" s="4" t="inlineStr">
        <is>
          <t>die Gefahr ← mhd. gevāre (Hinterlist, Bedrohung) · bringen = to bring · Wörtlich: „in Gefahr bringen</t>
        </is>
      </c>
      <c r="I57" s="4" t="inlineStr">
        <is>
          <t>,</t>
        </is>
      </c>
      <c r="J57" s="4" t="inlineStr">
        <is>
          <t>,</t>
        </is>
      </c>
      <c r="K57" s="4" t="inlineStr">
        <is>
          <t>,</t>
        </is>
      </c>
      <c r="L57" s="4" t="inlineStr">
        <is>
          <t>,</t>
        </is>
      </c>
    </row>
    <row r="58">
      <c r="A58" s="2" t="inlineStr">
        <is>
          <t>NVV057</t>
        </is>
      </c>
      <c r="B58" s="3" t="inlineStr">
        <is>
          <t>in Gefahr schweben/sein</t>
        </is>
      </c>
      <c r="C58" s="2" t="inlineStr">
        <is>
          <t>in + Dativ</t>
        </is>
      </c>
      <c r="D58" s="2" t="inlineStr">
        <is>
          <t>Formal</t>
        </is>
      </c>
      <c r="E58" s="2" t="inlineStr">
        <is>
          <t>gefährdet sein</t>
        </is>
      </c>
      <c r="F58" s="2" t="inlineStr">
        <is>
          <t>estar en peligro</t>
        </is>
      </c>
      <c r="G58" s="2" t="inlineStr">
        <is>
          <t>to be in danger</t>
        </is>
      </c>
      <c r="H58" s="2" t="inlineStr">
        <is>
          <t>schweben = to hover · Wörtlich: „in Gefahr schweben</t>
        </is>
      </c>
      <c r="I58" s="2" t="inlineStr">
        <is>
          <t>,</t>
        </is>
      </c>
      <c r="J58" s="2" t="inlineStr">
        <is>
          <t>,</t>
        </is>
      </c>
      <c r="K58" s="2" t="inlineStr">
        <is>
          <t>,</t>
        </is>
      </c>
      <c r="L58" s="2" t="inlineStr">
        <is>
          <t>,</t>
        </is>
      </c>
    </row>
    <row r="59">
      <c r="A59" s="4" t="inlineStr">
        <is>
          <t>NVV058</t>
        </is>
      </c>
      <c r="B59" s="5" t="inlineStr">
        <is>
          <t>im Gegensatz stehen zu</t>
        </is>
      </c>
      <c r="C59" s="4" t="inlineStr">
        <is>
          <t>zu + Dativ · im (in + dem)</t>
        </is>
      </c>
      <c r="D59" s="4" t="inlineStr">
        <is>
          <t>Formal</t>
        </is>
      </c>
      <c r="E59" s="4" t="inlineStr">
        <is>
          <t>jemandem/etwas entgegenstehen / widersprechen</t>
        </is>
      </c>
      <c r="F59" s="4" t="inlineStr">
        <is>
          <t>estar en contradicción con</t>
        </is>
      </c>
      <c r="G59" s="4" t="inlineStr">
        <is>
          <t>to be in contrast to / to contradict</t>
        </is>
      </c>
      <c r="H59" s="4" t="inlineStr">
        <is>
          <t>der Gegensatz ← gegen- (against) + Satz (proposition) · stehen = to stand · Wörtlich: „im Gegensatz stehen</t>
        </is>
      </c>
      <c r="I59" s="4" t="inlineStr">
        <is>
          <t>,</t>
        </is>
      </c>
      <c r="J59" s="4" t="inlineStr">
        <is>
          <t>,</t>
        </is>
      </c>
      <c r="K59" s="4" t="inlineStr">
        <is>
          <t>,</t>
        </is>
      </c>
      <c r="L59" s="4" t="inlineStr">
        <is>
          <t>,</t>
        </is>
      </c>
    </row>
    <row r="60">
      <c r="A60" s="2" t="inlineStr">
        <is>
          <t>NVV059</t>
        </is>
      </c>
      <c r="B60" s="3" t="inlineStr">
        <is>
          <t>Gesellschaft leisten</t>
        </is>
      </c>
      <c r="C60" s="2" t="inlineStr">
        <is>
          <t>jmdm. (Dativ)</t>
        </is>
      </c>
      <c r="D60" s="2" t="inlineStr">
        <is>
          <t>Neutral</t>
        </is>
      </c>
      <c r="E60" s="2" t="inlineStr">
        <is>
          <t>jemanden begleiten / bei jemandem sein</t>
        </is>
      </c>
      <c r="F60" s="2" t="inlineStr">
        <is>
          <t>hacer compañía (a alguien)</t>
        </is>
      </c>
      <c r="G60" s="2" t="inlineStr">
        <is>
          <t>to keep s.o. company</t>
        </is>
      </c>
      <c r="H60" s="2" t="inlineStr">
        <is>
          <t>die Gesellschaft ← Geselle (companion) + -schaft · leisten = to render · Wörtlich: „Gesellschaft leisten</t>
        </is>
      </c>
      <c r="I60" s="2" t="inlineStr">
        <is>
          <t>,</t>
        </is>
      </c>
      <c r="J60" s="2" t="inlineStr">
        <is>
          <t>,</t>
        </is>
      </c>
      <c r="K60" s="2" t="inlineStr">
        <is>
          <t>,</t>
        </is>
      </c>
      <c r="L60" s="2" t="inlineStr">
        <is>
          <t>,</t>
        </is>
      </c>
    </row>
    <row r="61">
      <c r="A61" s="4" t="inlineStr">
        <is>
          <t>NVV060</t>
        </is>
      </c>
      <c r="B61" s="5" t="inlineStr">
        <is>
          <t>ein Gespräch führen</t>
        </is>
      </c>
      <c r="C61" s="4" t="inlineStr">
        <is>
          <t>mit + Dativ · über + Akkusativ</t>
        </is>
      </c>
      <c r="D61" s="4" t="inlineStr">
        <is>
          <t>Neutral</t>
        </is>
      </c>
      <c r="E61" s="4" t="inlineStr">
        <is>
          <t>sprechen / sich unterhalten</t>
        </is>
      </c>
      <c r="F61" s="4" t="inlineStr">
        <is>
          <t>mantener una conversación</t>
        </is>
      </c>
      <c r="G61" s="4" t="inlineStr">
        <is>
          <t>to hold/have a conversation</t>
        </is>
      </c>
      <c r="H61" s="4" t="inlineStr">
        <is>
          <t>das Gespräch ← ge- + sprechen (to speak) · führen = to lead · Wörtlich: „ein Gespräch führen</t>
        </is>
      </c>
      <c r="I61" s="4" t="inlineStr">
        <is>
          <t>,</t>
        </is>
      </c>
      <c r="J61" s="4" t="inlineStr">
        <is>
          <t>,</t>
        </is>
      </c>
      <c r="K61" s="4" t="inlineStr">
        <is>
          <t>,</t>
        </is>
      </c>
      <c r="L61" s="4" t="inlineStr">
        <is>
          <t>,</t>
        </is>
      </c>
    </row>
    <row r="62">
      <c r="A62" s="2" t="inlineStr">
        <is>
          <t>NVV061</t>
        </is>
      </c>
      <c r="B62" s="3" t="inlineStr">
        <is>
          <t>Handel treiben</t>
        </is>
      </c>
      <c r="C62" s="2" t="inlineStr">
        <is>
          <t>mit + Dativ</t>
        </is>
      </c>
      <c r="D62" s="2" t="inlineStr">
        <is>
          <t>Business</t>
        </is>
      </c>
      <c r="E62" s="2" t="inlineStr">
        <is>
          <t>mit etwas handeln / Geschäfte machen</t>
        </is>
      </c>
      <c r="F62" s="2" t="inlineStr">
        <is>
          <t>comerciar (con)</t>
        </is>
      </c>
      <c r="G62" s="2" t="inlineStr">
        <is>
          <t>to trade / to do business (with)</t>
        </is>
      </c>
      <c r="H62" s="2" t="inlineStr">
        <is>
          <t>der Handel ← handeln (to trade) · treiben = to drive/pursue · Wörtlich: „Handel treiben</t>
        </is>
      </c>
      <c r="I62" s="2" t="inlineStr">
        <is>
          <t>,</t>
        </is>
      </c>
      <c r="J62" s="2" t="inlineStr">
        <is>
          <t>,</t>
        </is>
      </c>
      <c r="K62" s="2" t="inlineStr">
        <is>
          <t>,</t>
        </is>
      </c>
      <c r="L62" s="2" t="inlineStr">
        <is>
          <t>,</t>
        </is>
      </c>
    </row>
    <row r="63">
      <c r="A63" s="4" t="inlineStr">
        <is>
          <t>NVV062</t>
        </is>
      </c>
      <c r="B63" s="5" t="inlineStr">
        <is>
          <t>Hilfe leisten</t>
        </is>
      </c>
      <c r="C63" s="4" t="inlineStr">
        <is>
          <t>jmdm. (Dativ) · bei + Dativ</t>
        </is>
      </c>
      <c r="D63" s="4" t="inlineStr">
        <is>
          <t>Neutral</t>
        </is>
      </c>
      <c r="E63" s="4" t="inlineStr">
        <is>
          <t>jemandem helfen</t>
        </is>
      </c>
      <c r="F63" s="4" t="inlineStr">
        <is>
          <t>prestar ayuda</t>
        </is>
      </c>
      <c r="G63" s="4" t="inlineStr">
        <is>
          <t>to provide/render assistance</t>
        </is>
      </c>
      <c r="H63" s="4" t="inlineStr">
        <is>
          <t>die Hilfe ← ahd. hilfa · leisten = to render · Wörtlich: „Hilfe leisten</t>
        </is>
      </c>
      <c r="I63" s="4" t="inlineStr">
        <is>
          <t>,</t>
        </is>
      </c>
      <c r="J63" s="4" t="inlineStr">
        <is>
          <t>,</t>
        </is>
      </c>
      <c r="K63" s="4" t="inlineStr">
        <is>
          <t>,</t>
        </is>
      </c>
      <c r="L63" s="4" t="inlineStr">
        <is>
          <t>,</t>
        </is>
      </c>
    </row>
    <row r="64">
      <c r="A64" s="2" t="inlineStr">
        <is>
          <t>NVV063</t>
        </is>
      </c>
      <c r="B64" s="3" t="inlineStr">
        <is>
          <t>einen Hinweis geben</t>
        </is>
      </c>
      <c r="C64" s="2" t="inlineStr">
        <is>
          <t>jmdm. (Dativ) · auf + Akk</t>
        </is>
      </c>
      <c r="D64" s="2" t="inlineStr">
        <is>
          <t>Neutral</t>
        </is>
      </c>
      <c r="E64" s="2" t="inlineStr">
        <is>
          <t>jemanden auf etwas hinweisen</t>
        </is>
      </c>
      <c r="F64" s="2" t="inlineStr">
        <is>
          <t>dar una indicación/pista</t>
        </is>
      </c>
      <c r="G64" s="2" t="inlineStr">
        <is>
          <t>to give a hint/tip / to point out</t>
        </is>
      </c>
      <c r="H64" s="2" t="inlineStr">
        <is>
          <t>der Hinweis ← hin- (towards) + weisen (to point) · geben = to give · Wörtlich: „einen Hinweis geben</t>
        </is>
      </c>
      <c r="I64" s="2" t="inlineStr">
        <is>
          <t>,</t>
        </is>
      </c>
      <c r="J64" s="2" t="inlineStr">
        <is>
          <t>,</t>
        </is>
      </c>
      <c r="K64" s="2" t="inlineStr">
        <is>
          <t>,</t>
        </is>
      </c>
      <c r="L64" s="2" t="inlineStr">
        <is>
          <t>,</t>
        </is>
      </c>
    </row>
    <row r="65">
      <c r="A65" s="4" t="inlineStr">
        <is>
          <t>NVV064</t>
        </is>
      </c>
      <c r="B65" s="5" t="inlineStr">
        <is>
          <t>die Hoffnung haben/hegen</t>
        </is>
      </c>
      <c r="C65" s="4" t="inlineStr">
        <is>
          <t>auf + Akkusativ · Nebensatz: dass …</t>
        </is>
      </c>
      <c r="D65" s="4" t="inlineStr">
        <is>
          <t>Neutral + Formal</t>
        </is>
      </c>
      <c r="E65" s="4" t="inlineStr"/>
      <c r="F65" s="4" t="inlineStr">
        <is>
          <t>auf etwas hoffen</t>
        </is>
      </c>
      <c r="G65" s="4" t="inlineStr">
        <is>
          <t>tener la esperanza (de)</t>
        </is>
      </c>
      <c r="H65" s="4" t="inlineStr">
        <is>
          <t>to have/harbour hope (of)</t>
        </is>
      </c>
      <c r="I65" s="4" t="inlineStr">
        <is>
          <t>die Hoffnung ← hoffen (to hope) + -ung · hegen = to nurture/harbour (gehoben) · Wörtlich: „Hoffnung hegen</t>
        </is>
      </c>
      <c r="J65" s="4" t="inlineStr">
        <is>
          <t>,</t>
        </is>
      </c>
      <c r="K65" s="4" t="inlineStr">
        <is>
          <t>,</t>
        </is>
      </c>
      <c r="L65" s="4" t="inlineStr">
        <is>
          <t>,</t>
        </is>
      </c>
    </row>
    <row r="66">
      <c r="A66" s="2" t="inlineStr">
        <is>
          <t>NVV065</t>
        </is>
      </c>
      <c r="B66" s="3" t="inlineStr">
        <is>
          <t>sich/jemandem Hoffnung machen</t>
        </is>
      </c>
      <c r="C66" s="2" t="inlineStr">
        <is>
          <t>jmdm. (Dativ) · auf + Akk</t>
        </is>
      </c>
      <c r="D66" s="2" t="inlineStr">
        <is>
          <t>Neutral</t>
        </is>
      </c>
      <c r="E66" s="2" t="inlineStr">
        <is>
          <t>hoffen lassen / Hoffnung geben</t>
        </is>
      </c>
      <c r="F66" s="2" t="inlineStr">
        <is>
          <t>dar esperanzas (a alguien de)</t>
        </is>
      </c>
      <c r="G66" s="2" t="inlineStr">
        <is>
          <t>to raise s.o.'s hopes / to give hope</t>
        </is>
      </c>
      <c r="H66" s="2" t="inlineStr">
        <is>
          <t>machen = to make · Wörtlich: „jemandem Hoffnung machen</t>
        </is>
      </c>
      <c r="I66" s="2" t="inlineStr">
        <is>
          <t>,</t>
        </is>
      </c>
      <c r="J66" s="2" t="inlineStr">
        <is>
          <t>,</t>
        </is>
      </c>
      <c r="K66" s="2" t="inlineStr">
        <is>
          <t>,</t>
        </is>
      </c>
      <c r="L66" s="2" t="inlineStr">
        <is>
          <t>,</t>
        </is>
      </c>
    </row>
    <row r="67">
      <c r="A67" s="4" t="inlineStr">
        <is>
          <t>NVV066</t>
        </is>
      </c>
      <c r="B67" s="5" t="inlineStr">
        <is>
          <t>Interesse zeigen</t>
        </is>
      </c>
      <c r="C67" s="4" t="inlineStr">
        <is>
          <t>an + Dativ</t>
        </is>
      </c>
      <c r="D67" s="4" t="inlineStr">
        <is>
          <t>Neutral</t>
        </is>
      </c>
      <c r="E67" s="4" t="inlineStr">
        <is>
          <t>interessiert sein (an + Dat.)</t>
        </is>
      </c>
      <c r="F67" s="4" t="inlineStr">
        <is>
          <t>mostrar interés (por)</t>
        </is>
      </c>
      <c r="G67" s="4" t="inlineStr">
        <is>
          <t>to show interest (in)</t>
        </is>
      </c>
      <c r="H67" s="4" t="inlineStr">
        <is>
          <t>das Interesse ← lat. interesse (to be between / to matter) · zeigen = to show · Wörtlich: „Interesse zeigen</t>
        </is>
      </c>
      <c r="I67" s="4" t="inlineStr">
        <is>
          <t>,</t>
        </is>
      </c>
      <c r="J67" s="4" t="inlineStr">
        <is>
          <t>,</t>
        </is>
      </c>
      <c r="K67" s="4" t="inlineStr">
        <is>
          <t>,</t>
        </is>
      </c>
      <c r="L67" s="4" t="inlineStr">
        <is>
          <t>,</t>
        </is>
      </c>
    </row>
    <row r="68">
      <c r="A68" s="2" t="inlineStr">
        <is>
          <t>NVV067</t>
        </is>
      </c>
      <c r="B68" s="3" t="inlineStr">
        <is>
          <t>Interesse wecken</t>
        </is>
      </c>
      <c r="C68" s="2" t="inlineStr">
        <is>
          <t>an + Dativ · bei + Dat (Personen) · für + Akk</t>
        </is>
      </c>
      <c r="D68" s="2" t="inlineStr">
        <is>
          <t>Neutral</t>
        </is>
      </c>
      <c r="E68" s="2" t="inlineStr">
        <is>
          <t>jemanden für etwas interessieren</t>
        </is>
      </c>
      <c r="F68" s="2" t="inlineStr">
        <is>
          <t>despertar interés (en alguien por)</t>
        </is>
      </c>
      <c r="G68" s="2" t="inlineStr">
        <is>
          <t>to arouse/spark interest</t>
        </is>
      </c>
      <c r="H68" s="2" t="inlineStr">
        <is>
          <t>wecken = to awaken · Wörtlich: „Interesse wecken</t>
        </is>
      </c>
      <c r="I68" s="2" t="inlineStr">
        <is>
          <t>,</t>
        </is>
      </c>
      <c r="J68" s="2" t="inlineStr">
        <is>
          <t>,</t>
        </is>
      </c>
      <c r="K68" s="2" t="inlineStr">
        <is>
          <t>,</t>
        </is>
      </c>
      <c r="L68" s="2" t="inlineStr">
        <is>
          <t>,</t>
        </is>
      </c>
    </row>
    <row r="69">
      <c r="A69" s="4" t="inlineStr">
        <is>
          <t>NVV068</t>
        </is>
      </c>
      <c r="B69" s="5" t="inlineStr">
        <is>
          <t>sich im Irrtum befinden</t>
        </is>
      </c>
      <c r="C69" s="4" t="inlineStr">
        <is>
          <t>im (in + dem) + Dativ</t>
        </is>
      </c>
      <c r="D69" s="4" t="inlineStr">
        <is>
          <t>Formal</t>
        </is>
      </c>
      <c r="E69" s="4" t="inlineStr">
        <is>
          <t>sich irren</t>
        </is>
      </c>
      <c r="F69" s="4" t="inlineStr">
        <is>
          <t>estar equivocado</t>
        </is>
      </c>
      <c r="G69" s="4" t="inlineStr">
        <is>
          <t>to be mistaken</t>
        </is>
      </c>
      <c r="H69" s="4" t="inlineStr">
        <is>
          <t>der Irrtum ← irren (to err) + -tum (state-suffix) · sich befinden = to find oneself · Wörtlich: „sich im Irrtum befinden</t>
        </is>
      </c>
      <c r="I69" s="4" t="inlineStr">
        <is>
          <t>,</t>
        </is>
      </c>
      <c r="J69" s="4" t="inlineStr">
        <is>
          <t>,</t>
        </is>
      </c>
      <c r="K69" s="4" t="inlineStr">
        <is>
          <t>,</t>
        </is>
      </c>
      <c r="L69" s="4" t="inlineStr">
        <is>
          <t>,</t>
        </is>
      </c>
    </row>
    <row r="70">
      <c r="A70" s="2" t="inlineStr">
        <is>
          <t>NVV069</t>
        </is>
      </c>
      <c r="B70" s="3" t="inlineStr">
        <is>
          <t>etwas in Kauf nehmen</t>
        </is>
      </c>
      <c r="C70" s="2" t="inlineStr">
        <is>
          <t>in + Akkusativ</t>
        </is>
      </c>
      <c r="D70" s="2" t="inlineStr">
        <is>
          <t>Neutral</t>
        </is>
      </c>
      <c r="E70" s="2" t="inlineStr">
        <is>
          <t>etwas akzeptieren müssen (Negatives)</t>
        </is>
      </c>
      <c r="F70" s="2" t="inlineStr">
        <is>
          <t>aceptar algo (negativo)</t>
        </is>
      </c>
      <c r="G70" s="2" t="inlineStr">
        <is>
          <t>to accept / to put up with (sth. negative)</t>
        </is>
      </c>
      <c r="H70" s="2" t="inlineStr">
        <is>
          <t>der Kauf = purchase · Wörtlich: „etwas in Kauf nehmen</t>
        </is>
      </c>
      <c r="I70" s="2" t="inlineStr">
        <is>
          <t>,</t>
        </is>
      </c>
      <c r="J70" s="2" t="inlineStr">
        <is>
          <t>,</t>
        </is>
      </c>
      <c r="K70" s="2" t="inlineStr">
        <is>
          <t>,</t>
        </is>
      </c>
      <c r="L70" s="2" t="inlineStr">
        <is>
          <t>,</t>
        </is>
      </c>
    </row>
    <row r="71">
      <c r="A71" s="4" t="inlineStr">
        <is>
          <t>NVV070</t>
        </is>
      </c>
      <c r="B71" s="5" t="inlineStr">
        <is>
          <t>jemanden in Kenntnis setzen</t>
        </is>
      </c>
      <c r="C71" s="4" t="inlineStr">
        <is>
          <t>in + Akkusativ · über + Akk / von + Dat</t>
        </is>
      </c>
      <c r="D71" s="4" t="inlineStr">
        <is>
          <t>R_OFFICIAL</t>
        </is>
      </c>
      <c r="E71" s="4" t="inlineStr">
        <is>
          <t>jemanden informieren</t>
        </is>
      </c>
      <c r="F71" s="4" t="inlineStr">
        <is>
          <t>informar a alguien (sobre)</t>
        </is>
      </c>
      <c r="G71" s="4" t="inlineStr">
        <is>
          <t>to inform / to notify s.o. (of)</t>
        </is>
      </c>
      <c r="H71" s="4" t="inlineStr">
        <is>
          <t>die Kenntnis ← kennen (to know) + -nis · setzen = to set · Wörtlich: „jmdn. in Kenntnis setzen</t>
        </is>
      </c>
      <c r="I71" s="4" t="inlineStr">
        <is>
          <t>,</t>
        </is>
      </c>
      <c r="J71" s="4" t="inlineStr">
        <is>
          <t>,</t>
        </is>
      </c>
      <c r="K71" s="4" t="inlineStr">
        <is>
          <t>,</t>
        </is>
      </c>
      <c r="L71" s="4" t="inlineStr">
        <is>
          <t>,</t>
        </is>
      </c>
    </row>
    <row r="72">
      <c r="A72" s="2" t="inlineStr">
        <is>
          <t>NVV071</t>
        </is>
      </c>
      <c r="B72" s="3" t="inlineStr">
        <is>
          <t>etwas zur Kenntnis nehmen</t>
        </is>
      </c>
      <c r="C72" s="2" t="inlineStr">
        <is>
          <t>— (kein Präposition nötig)</t>
        </is>
      </c>
      <c r="D72" s="2" t="inlineStr">
        <is>
          <t>R_OFFICIAL</t>
        </is>
      </c>
      <c r="E72" s="2" t="inlineStr">
        <is>
          <t>etwas wahrnehmen / registrieren</t>
        </is>
      </c>
      <c r="F72" s="2" t="inlineStr">
        <is>
          <t>tomar nota de algo</t>
        </is>
      </c>
      <c r="G72" s="2" t="inlineStr">
        <is>
          <t>to take note of / to acknowledge</t>
        </is>
      </c>
      <c r="H72" s="2" t="inlineStr">
        <is>
          <t>zur Kenntnis nehmen = to take to one's knowledge · Formeller als „bemerken</t>
        </is>
      </c>
      <c r="I72" s="2">
        <f> We acknowledge that (kann distanziert klingen)</f>
        <v/>
      </c>
      <c r="J72" s="2" t="inlineStr">
        <is>
          <t>etwas nur / mit Bedauern / mit Interesse / lediglich zur Kenntnis nehmen · ⚠️ kann kühl/distanziert klingen</t>
        </is>
      </c>
      <c r="K72" s="2" t="inlineStr">
        <is>
          <t>Die Ministerpräsidentin hat die Äußerungen zur Kenntnis genommen.</t>
        </is>
      </c>
      <c r="L72" s="2" t="inlineStr">
        <is>
          <t>La primera ministra tomó nota de las declaraciones del líder de la oposición.</t>
        </is>
      </c>
    </row>
    <row r="73">
      <c r="A73" s="4" t="inlineStr">
        <is>
          <t>NVV072</t>
        </is>
      </c>
      <c r="B73" s="5" t="inlineStr">
        <is>
          <t>sich im Klaren sein über</t>
        </is>
      </c>
      <c r="C73" s="4" t="inlineStr">
        <is>
          <t>über + Akkusativ · Reflexiv: sich (Dativ)</t>
        </is>
      </c>
      <c r="D73" s="4" t="inlineStr">
        <is>
          <t>Neutral</t>
        </is>
      </c>
      <c r="E73" s="4" t="inlineStr">
        <is>
          <t>etwas wissen / verstehen</t>
        </is>
      </c>
      <c r="F73" s="4" t="inlineStr">
        <is>
          <t>tener claro</t>
        </is>
      </c>
      <c r="G73" s="4" t="inlineStr">
        <is>
          <t>to be clear about / to be aware of</t>
        </is>
      </c>
      <c r="H73" s="4" t="inlineStr">
        <is>
          <t>im Klaren ← klar (clear) · sein = to be · Wörtlich: „sich im Klaren sein</t>
        </is>
      </c>
      <c r="I73" s="4" t="inlineStr">
        <is>
          <t>,</t>
        </is>
      </c>
      <c r="J73" s="4" t="inlineStr">
        <is>
          <t>,</t>
        </is>
      </c>
      <c r="K73" s="4" t="inlineStr">
        <is>
          <t>,</t>
        </is>
      </c>
      <c r="L73" s="4" t="inlineStr">
        <is>
          <t>,</t>
        </is>
      </c>
    </row>
    <row r="74">
      <c r="A74" s="2" t="inlineStr">
        <is>
          <t>NVV073</t>
        </is>
      </c>
      <c r="B74" s="3" t="inlineStr">
        <is>
          <t>einen Kompromiss schließen</t>
        </is>
      </c>
      <c r="C74" s="2" t="inlineStr">
        <is>
          <t>mit + Dativ · über + Akk</t>
        </is>
      </c>
      <c r="D74" s="2" t="inlineStr">
        <is>
          <t>Neutral</t>
        </is>
      </c>
      <c r="E74" s="2" t="inlineStr">
        <is>
          <t>sich einigen / nachgeben</t>
        </is>
      </c>
      <c r="F74" s="2" t="inlineStr">
        <is>
          <t>llegar a un compromiso</t>
        </is>
      </c>
      <c r="G74" s="2" t="inlineStr">
        <is>
          <t>to reach/make a compromise</t>
        </is>
      </c>
      <c r="H74" s="2" t="inlineStr">
        <is>
          <t>der Kompromiss ← lat. compromissum (mutual agreement) · schließen = to close/conclude · Wörtlich: „einen Kompromiss schließen</t>
        </is>
      </c>
      <c r="I74" s="2" t="inlineStr">
        <is>
          <t>,</t>
        </is>
      </c>
      <c r="J74" s="2" t="inlineStr">
        <is>
          <t>,</t>
        </is>
      </c>
      <c r="K74" s="2" t="inlineStr">
        <is>
          <t>,</t>
        </is>
      </c>
      <c r="L74" s="2" t="inlineStr">
        <is>
          <t>,</t>
        </is>
      </c>
    </row>
    <row r="75">
      <c r="A75" s="4" t="inlineStr">
        <is>
          <t>NVV074</t>
        </is>
      </c>
      <c r="B75" s="5" t="inlineStr">
        <is>
          <t>Kontakt aufnehmen mit</t>
        </is>
      </c>
      <c r="C75" s="4" t="inlineStr">
        <is>
          <t>mit + Dativ · zu + Dat</t>
        </is>
      </c>
      <c r="D75" s="4" t="inlineStr">
        <is>
          <t>Neutral</t>
        </is>
      </c>
      <c r="E75" s="4" t="inlineStr">
        <is>
          <t>jemanden kontaktieren</t>
        </is>
      </c>
      <c r="F75" s="4" t="inlineStr">
        <is>
          <t>contactar con</t>
        </is>
      </c>
      <c r="G75" s="4" t="inlineStr">
        <is>
          <t>to get in touch with / to contact</t>
        </is>
      </c>
      <c r="H75" s="4" t="inlineStr">
        <is>
          <t>der Kontakt ← lat. contactus (touch) · aufnehmen = to take up · Wörtlich: „Kontakt aufnehmen</t>
        </is>
      </c>
      <c r="I75" s="4" t="inlineStr">
        <is>
          <t>,</t>
        </is>
      </c>
      <c r="J75" s="4" t="inlineStr">
        <is>
          <t>,</t>
        </is>
      </c>
      <c r="K75" s="4" t="inlineStr">
        <is>
          <t>,</t>
        </is>
      </c>
      <c r="L75" s="4" t="inlineStr">
        <is>
          <t>,</t>
        </is>
      </c>
    </row>
    <row r="76">
      <c r="A76" s="2" t="inlineStr">
        <is>
          <t>NVV075</t>
        </is>
      </c>
      <c r="B76" s="3" t="inlineStr">
        <is>
          <t>in Kraft treten / außer Kraft setzen</t>
        </is>
      </c>
      <c r="C76" s="2" t="inlineStr">
        <is>
          <t>in + Akkusativ (treten) · außer + Akk (setzen)</t>
        </is>
      </c>
      <c r="D76" s="2" t="inlineStr">
        <is>
          <t>Legal</t>
        </is>
      </c>
      <c r="E76" s="2" t="inlineStr">
        <is>
          <t>gültig werden / ungültig machen</t>
        </is>
      </c>
      <c r="F76" s="2" t="inlineStr">
        <is>
          <t>entrar en vigor / derogar</t>
        </is>
      </c>
      <c r="G76" s="2" t="inlineStr">
        <is>
          <t>to come into effect / to repeal</t>
        </is>
      </c>
      <c r="H76" s="2" t="inlineStr">
        <is>
          <t>die Kraft = force/power · treten = to step · Wörtlich: „in Kraft treten</t>
        </is>
      </c>
      <c r="I76" s="2" t="inlineStr">
        <is>
          <t>,</t>
        </is>
      </c>
      <c r="J76" s="2" t="inlineStr">
        <is>
          <t>,</t>
        </is>
      </c>
      <c r="K76" s="2" t="inlineStr">
        <is>
          <t>,</t>
        </is>
      </c>
      <c r="L76" s="2" t="inlineStr">
        <is>
          <t>,</t>
        </is>
      </c>
    </row>
    <row r="77">
      <c r="A77" s="4" t="inlineStr">
        <is>
          <t>NVV076</t>
        </is>
      </c>
      <c r="B77" s="5" t="inlineStr">
        <is>
          <t>Kritik üben an / auf Kritik stoßen</t>
        </is>
      </c>
      <c r="C77" s="4" t="inlineStr">
        <is>
          <t>an + Dativ (üben) · auf + Akk (stoßen)</t>
        </is>
      </c>
      <c r="D77" s="4" t="inlineStr">
        <is>
          <t>Neutral</t>
        </is>
      </c>
      <c r="E77" s="4" t="inlineStr">
        <is>
          <t>jemanden/etwas kritisieren / kritisiert werden</t>
        </is>
      </c>
      <c r="F77" s="4" t="inlineStr">
        <is>
          <t>criticar / ser criticado</t>
        </is>
      </c>
      <c r="G77" s="4" t="inlineStr">
        <is>
          <t>to criticise / to meet with criticism</t>
        </is>
      </c>
      <c r="H77" s="4" t="inlineStr">
        <is>
          <t>die Kritik ← griech. kritikē (Beurteilung) · üben = to practise/exercise · Wörtlich: „Kritik üben</t>
        </is>
      </c>
      <c r="I77" s="4" t="inlineStr">
        <is>
          <t>,</t>
        </is>
      </c>
      <c r="J77" s="4" t="inlineStr">
        <is>
          <t>,</t>
        </is>
      </c>
      <c r="K77" s="4" t="inlineStr">
        <is>
          <t>,</t>
        </is>
      </c>
      <c r="L77" s="4" t="inlineStr">
        <is>
          <t>,</t>
        </is>
      </c>
    </row>
    <row r="78">
      <c r="A78" s="2" t="inlineStr">
        <is>
          <t>NVV077</t>
        </is>
      </c>
      <c r="B78" s="3" t="inlineStr">
        <is>
          <t>auf dem Laufenden sein / halten</t>
        </is>
      </c>
      <c r="C78" s="2" t="inlineStr">
        <is>
          <t>auf + Dativ (dem) · über + Akk</t>
        </is>
      </c>
      <c r="D78" s="2" t="inlineStr">
        <is>
          <t>Neutral</t>
        </is>
      </c>
      <c r="E78" s="2" t="inlineStr">
        <is>
          <t>informiert sein / jmdn. informieren</t>
        </is>
      </c>
      <c r="F78" s="2" t="inlineStr">
        <is>
          <t>estar/mantener al corriente</t>
        </is>
      </c>
      <c r="G78" s="2" t="inlineStr">
        <is>
          <t>to be/keep up to date</t>
        </is>
      </c>
      <c r="H78" s="2" t="inlineStr">
        <is>
          <t>das Laufende ← laufen (to run) → „was gerade läuft</t>
        </is>
      </c>
      <c r="I78" s="2">
        <f> to be on the running = to be current</f>
        <v/>
      </c>
      <c r="J78" s="2" t="inlineStr">
        <is>
          <t>jmdn. ständig / regelmäßig auf dem Laufenden halten · über Entwicklungen / Fortschritte auf dem Laufenden halten</t>
        </is>
      </c>
      <c r="K78" s="2" t="inlineStr">
        <is>
          <t>Ich halte Sie auf dem Laufenden.</t>
        </is>
      </c>
      <c r="L78" s="2" t="inlineStr">
        <is>
          <t>Le mantendré informado.</t>
        </is>
      </c>
    </row>
    <row r="79">
      <c r="A79" s="4" t="inlineStr">
        <is>
          <t>NVV078</t>
        </is>
      </c>
      <c r="B79" s="5" t="inlineStr">
        <is>
          <t>eine Lösung finden</t>
        </is>
      </c>
      <c r="C79" s="4" t="inlineStr">
        <is>
          <t>für + Akkusativ</t>
        </is>
      </c>
      <c r="D79" s="4" t="inlineStr">
        <is>
          <t>Neutral</t>
        </is>
      </c>
      <c r="E79" s="4" t="inlineStr">
        <is>
          <t>etwas lösen</t>
        </is>
      </c>
      <c r="F79" s="4" t="inlineStr">
        <is>
          <t>encontrar una solución (para)</t>
        </is>
      </c>
      <c r="G79" s="4" t="inlineStr">
        <is>
          <t>to find a solution (for)</t>
        </is>
      </c>
      <c r="H79" s="4" t="inlineStr">
        <is>
          <t>die Lösung ← lösen (to solve/dissolve) + -ung · finden = to find · Wörtlich: „eine Lösung finden</t>
        </is>
      </c>
      <c r="I79" s="4" t="inlineStr">
        <is>
          <t>,</t>
        </is>
      </c>
      <c r="J79" s="4" t="inlineStr">
        <is>
          <t>,</t>
        </is>
      </c>
      <c r="K79" s="4" t="inlineStr">
        <is>
          <t>,</t>
        </is>
      </c>
      <c r="L79" s="4" t="inlineStr">
        <is>
          <t>,</t>
        </is>
      </c>
    </row>
    <row r="80">
      <c r="A80" s="2" t="inlineStr">
        <is>
          <t>NVV079</t>
        </is>
      </c>
      <c r="B80" s="3" t="inlineStr">
        <is>
          <t>Maßnahmen treffen/ergreifen</t>
        </is>
      </c>
      <c r="C80" s="2" t="inlineStr">
        <is>
          <t>gegen + Akk · für + Akk</t>
        </is>
      </c>
      <c r="D80" s="2" t="inlineStr">
        <is>
          <t>R_OFFICIAL</t>
        </is>
      </c>
      <c r="E80" s="2" t="inlineStr">
        <is>
          <t>handeln / etwas unternehmen</t>
        </is>
      </c>
      <c r="F80" s="2" t="inlineStr">
        <is>
          <t>tomar medidas</t>
        </is>
      </c>
      <c r="G80" s="2" t="inlineStr">
        <is>
          <t>to take measures/action</t>
        </is>
      </c>
      <c r="H80" s="2" t="inlineStr">
        <is>
          <t>die Maßnahme ← Maß (measure) + nahme (von nehmen) · ergreifen = to seize/grasp · Wörtlich: „Maßnahmen ergreifen</t>
        </is>
      </c>
      <c r="I80" s="2" t="inlineStr">
        <is>
          <t>,</t>
        </is>
      </c>
      <c r="J80" s="2" t="inlineStr">
        <is>
          <t>,</t>
        </is>
      </c>
      <c r="K80" s="2" t="inlineStr">
        <is>
          <t>,</t>
        </is>
      </c>
      <c r="L80" s="2" t="inlineStr">
        <is>
          <t>,</t>
        </is>
      </c>
    </row>
    <row r="81">
      <c r="A81" s="4" t="inlineStr">
        <is>
          <t>NVV080</t>
        </is>
      </c>
      <c r="B81" s="5" t="inlineStr">
        <is>
          <t>eine Meinung vertreten</t>
        </is>
      </c>
      <c r="C81" s="4" t="inlineStr">
        <is>
          <t>— (oft mit Nebensatz: dass …)</t>
        </is>
      </c>
      <c r="D81" s="4" t="inlineStr">
        <is>
          <t>Neutral</t>
        </is>
      </c>
      <c r="E81" s="4" t="inlineStr">
        <is>
          <t>etwas meinen / der Ansicht sein</t>
        </is>
      </c>
      <c r="F81" s="4" t="inlineStr">
        <is>
          <t>sostener una opinión</t>
        </is>
      </c>
      <c r="G81" s="4" t="inlineStr">
        <is>
          <t>to hold/represent an opinion</t>
        </is>
      </c>
      <c r="H81" s="4" t="inlineStr">
        <is>
          <t>die Meinung ← meinen (to mean/think) + -ung · vertreten = to represent/advocate · Wörtlich: „eine Meinung vertreten</t>
        </is>
      </c>
      <c r="I81" s="4" t="inlineStr">
        <is>
          <t>,</t>
        </is>
      </c>
      <c r="J81" s="4" t="inlineStr">
        <is>
          <t>,</t>
        </is>
      </c>
      <c r="K81" s="4" t="inlineStr">
        <is>
          <t>,</t>
        </is>
      </c>
      <c r="L81" s="4" t="inlineStr">
        <is>
          <t>,</t>
        </is>
      </c>
    </row>
    <row r="82">
      <c r="A82" s="2" t="inlineStr">
        <is>
          <t>NVV081</t>
        </is>
      </c>
      <c r="B82" s="3" t="inlineStr">
        <is>
          <t>Nachforschungen anstellen</t>
        </is>
      </c>
      <c r="C82" s="2" t="inlineStr">
        <is>
          <t>über + Akk · zu + Dat</t>
        </is>
      </c>
      <c r="D82" s="2" t="inlineStr">
        <is>
          <t>Formal</t>
        </is>
      </c>
      <c r="E82" s="2" t="inlineStr">
        <is>
          <t>untersuchen / nachforschen</t>
        </is>
      </c>
      <c r="F82" s="2" t="inlineStr">
        <is>
          <t>realizar investigaciones (sobre)</t>
        </is>
      </c>
      <c r="G82" s="2" t="inlineStr">
        <is>
          <t>to make enquiries / to investigate</t>
        </is>
      </c>
      <c r="H82" s="2" t="inlineStr">
        <is>
          <t>die Nachforschung ← nach- (after) + forschen (to research) + -ung · anstellen = to arrange/initiate · Wörtlich: „Nachforschungen anstellen</t>
        </is>
      </c>
      <c r="I82" s="2" t="inlineStr">
        <is>
          <t>,</t>
        </is>
      </c>
      <c r="J82" s="2" t="inlineStr">
        <is>
          <t>,</t>
        </is>
      </c>
      <c r="K82" s="2" t="inlineStr">
        <is>
          <t>,</t>
        </is>
      </c>
      <c r="L82" s="2" t="inlineStr">
        <is>
          <t>,</t>
        </is>
      </c>
    </row>
    <row r="83">
      <c r="A83" s="4" t="inlineStr">
        <is>
          <t>NVV082</t>
        </is>
      </c>
      <c r="B83" s="5" t="inlineStr">
        <is>
          <t>an die Öffentlichkeit geraten</t>
        </is>
      </c>
      <c r="C83" s="4" t="inlineStr">
        <is>
          <t>an + Akkusativ</t>
        </is>
      </c>
      <c r="D83" s="4" t="inlineStr">
        <is>
          <t>Neutral</t>
        </is>
      </c>
      <c r="E83" s="4" t="inlineStr">
        <is>
          <t>veröffentlicht / bekannt werden</t>
        </is>
      </c>
      <c r="F83" s="4" t="inlineStr">
        <is>
          <t>salir a la luz pública</t>
        </is>
      </c>
      <c r="G83" s="4" t="inlineStr">
        <is>
          <t>to become public / to be leaked</t>
        </is>
      </c>
      <c r="H83" s="4" t="inlineStr">
        <is>
          <t>die Öffentlichkeit ← öffentlich (public) + -keit · geraten = to get into (ungewollt!) · Wörtlich: „an die Öffentlichkeit geraten</t>
        </is>
      </c>
      <c r="I83" s="4" t="inlineStr">
        <is>
          <t>,</t>
        </is>
      </c>
      <c r="J83" s="4" t="inlineStr">
        <is>
          <t>,</t>
        </is>
      </c>
      <c r="K83" s="4" t="inlineStr">
        <is>
          <t>,</t>
        </is>
      </c>
      <c r="L83" s="4" t="inlineStr">
        <is>
          <t>,</t>
        </is>
      </c>
    </row>
    <row r="84">
      <c r="A84" s="2" t="inlineStr">
        <is>
          <t>NVV083</t>
        </is>
      </c>
      <c r="B84" s="3" t="inlineStr">
        <is>
          <t>Platz nehmen</t>
        </is>
      </c>
      <c r="C84" s="2" t="inlineStr">
        <is>
          <t>— (kein Präposition nötig)</t>
        </is>
      </c>
      <c r="D84" s="2" t="inlineStr">
        <is>
          <t>Neutral</t>
        </is>
      </c>
      <c r="E84" s="2" t="inlineStr">
        <is>
          <t>sich setzen / sich hinsetzen</t>
        </is>
      </c>
      <c r="F84" s="2" t="inlineStr">
        <is>
          <t>tomar asiento</t>
        </is>
      </c>
      <c r="G84" s="2" t="inlineStr">
        <is>
          <t>to take a seat</t>
        </is>
      </c>
      <c r="H84" s="2" t="inlineStr">
        <is>
          <t>der Platz = seat/place · nehmen = to take · Wörtlich: „Platz nehmen</t>
        </is>
      </c>
      <c r="I84" s="2" t="inlineStr">
        <is>
          <t>,</t>
        </is>
      </c>
      <c r="J84" s="2" t="inlineStr">
        <is>
          <t>,</t>
        </is>
      </c>
      <c r="K84" s="2" t="inlineStr">
        <is>
          <t>,</t>
        </is>
      </c>
      <c r="L84" s="2" t="inlineStr">
        <is>
          <t>,</t>
        </is>
      </c>
    </row>
    <row r="85">
      <c r="A85" s="4" t="inlineStr">
        <is>
          <t>NVV084</t>
        </is>
      </c>
      <c r="B85" s="5" t="inlineStr">
        <is>
          <t>Protokoll führen/schreiben</t>
        </is>
      </c>
      <c r="C85" s="4" t="inlineStr">
        <is>
          <t>über + Akkusativ</t>
        </is>
      </c>
      <c r="D85" s="4" t="inlineStr">
        <is>
          <t>Business</t>
        </is>
      </c>
      <c r="E85" s="4" t="inlineStr">
        <is>
          <t>protokollieren</t>
        </is>
      </c>
      <c r="F85" s="4" t="inlineStr">
        <is>
          <t>levantar acta</t>
        </is>
      </c>
      <c r="G85" s="4" t="inlineStr">
        <is>
          <t>to take/keep minutes</t>
        </is>
      </c>
      <c r="H85" s="4" t="inlineStr">
        <is>
          <t>das Protokoll ← griech. prōtokollon (first page) · führen = to lead/keep · Wörtlich: „Protokoll führen</t>
        </is>
      </c>
      <c r="I85" s="4" t="inlineStr">
        <is>
          <t>,</t>
        </is>
      </c>
      <c r="J85" s="4" t="inlineStr">
        <is>
          <t>,</t>
        </is>
      </c>
      <c r="K85" s="4" t="inlineStr">
        <is>
          <t>,</t>
        </is>
      </c>
      <c r="L85" s="4" t="inlineStr">
        <is>
          <t>,</t>
        </is>
      </c>
    </row>
    <row r="86">
      <c r="A86" s="2" t="inlineStr">
        <is>
          <t>NVV085</t>
        </is>
      </c>
      <c r="B86" s="3" t="inlineStr">
        <is>
          <t>etwas einer Prüfung unterziehen</t>
        </is>
      </c>
      <c r="C86" s="2" t="inlineStr">
        <is>
          <t>Dativ (einer Prüfung)</t>
        </is>
      </c>
      <c r="D86" s="2" t="inlineStr">
        <is>
          <t>R_OFFICIAL</t>
        </is>
      </c>
      <c r="E86" s="2" t="inlineStr">
        <is>
          <t>etwas prüfen / kontrollieren</t>
        </is>
      </c>
      <c r="F86" s="2" t="inlineStr">
        <is>
          <t>someter a un examen/inspección</t>
        </is>
      </c>
      <c r="G86" s="2" t="inlineStr">
        <is>
          <t>to subject to an examination</t>
        </is>
      </c>
      <c r="H86" s="2" t="inlineStr">
        <is>
          <t>die Prüfung ← prüfen (to test) + -ung · unterziehen = to subject · Wörtlich: „einer Prüfung unterziehen</t>
        </is>
      </c>
      <c r="I86" s="2" t="inlineStr">
        <is>
          <t>,</t>
        </is>
      </c>
      <c r="J86" s="2" t="inlineStr">
        <is>
          <t>,</t>
        </is>
      </c>
      <c r="K86" s="2" t="inlineStr">
        <is>
          <t>,</t>
        </is>
      </c>
      <c r="L86" s="2" t="inlineStr">
        <is>
          <t>,</t>
        </is>
      </c>
    </row>
    <row r="87">
      <c r="A87" s="4" t="inlineStr">
        <is>
          <t>NVV086</t>
        </is>
      </c>
      <c r="B87" s="5" t="inlineStr">
        <is>
          <t>einen Rat erteilen/geben</t>
        </is>
      </c>
      <c r="C87" s="4" t="inlineStr">
        <is>
          <t>jmdm. (Dativ) · jmdn. zu Rate ziehen</t>
        </is>
      </c>
      <c r="D87" s="4" t="inlineStr">
        <is>
          <t>Neutral</t>
        </is>
      </c>
      <c r="E87" s="4" t="inlineStr">
        <is>
          <t>jemandem etwas raten</t>
        </is>
      </c>
      <c r="F87" s="4" t="inlineStr">
        <is>
          <t>dar un consejo</t>
        </is>
      </c>
      <c r="G87" s="4" t="inlineStr">
        <is>
          <t>to give advice</t>
        </is>
      </c>
      <c r="H87" s="4" t="inlineStr">
        <is>
          <t>der Rat ← ahd. rāt (Ratschlag) · erteilen = to grant (formeller) · geben = to give (neutraler) · jmdn. zu Rate ziehen = to consult s.o.</t>
        </is>
      </c>
      <c r="I87" s="4" t="inlineStr">
        <is>
          <t>einen guten / wertvollen / ärztlichen Rat geben · einen Rat befolgen / ignorieren · jmdn. zu Rate ziehen</t>
        </is>
      </c>
      <c r="J87" s="4" t="inlineStr">
        <is>
          <t>Kannst du mir vielleicht einen Rat geben?</t>
        </is>
      </c>
      <c r="K87" s="4" t="inlineStr">
        <is>
          <t>¿Podrías darme un consejo?</t>
        </is>
      </c>
      <c r="L87" s="4" t="inlineStr">
        <is>
          <t>Could you perhaps give me some advice?</t>
        </is>
      </c>
    </row>
    <row r="88">
      <c r="A88" s="2" t="inlineStr">
        <is>
          <t>NVV087</t>
        </is>
      </c>
      <c r="B88" s="3" t="inlineStr">
        <is>
          <t>Rechenschaft ablegen</t>
        </is>
      </c>
      <c r="C88" s="2" t="inlineStr">
        <is>
          <t>über + Akkusativ</t>
        </is>
      </c>
      <c r="D88" s="2" t="inlineStr">
        <is>
          <t>Formal</t>
        </is>
      </c>
      <c r="E88" s="2" t="inlineStr">
        <is>
          <t>über Vergangenes informieren / berichten</t>
        </is>
      </c>
      <c r="F88" s="2" t="inlineStr">
        <is>
          <t>rendir cuentas (sobre)</t>
        </is>
      </c>
      <c r="G88" s="2" t="inlineStr">
        <is>
          <t>to give an account (of) / to report</t>
        </is>
      </c>
      <c r="H88" s="2" t="inlineStr">
        <is>
          <t>die Rechenschaft ← rechnen (to calculate) + -schaft · ablegen = to lay down · Wörtlich: „Rechenschaft ablegen</t>
        </is>
      </c>
      <c r="I88" s="2" t="inlineStr">
        <is>
          <t>,</t>
        </is>
      </c>
      <c r="J88" s="2" t="inlineStr">
        <is>
          <t>,</t>
        </is>
      </c>
      <c r="K88" s="2" t="inlineStr">
        <is>
          <t>,</t>
        </is>
      </c>
      <c r="L88" s="2" t="inlineStr">
        <is>
          <t>,</t>
        </is>
      </c>
    </row>
    <row r="89">
      <c r="A89" s="4" t="inlineStr">
        <is>
          <t>NVV088</t>
        </is>
      </c>
      <c r="B89" s="5" t="inlineStr">
        <is>
          <t>jemanden zur Rechenschaft ziehen</t>
        </is>
      </c>
      <c r="C89" s="4" t="inlineStr">
        <is>
          <t>für + Akkusativ</t>
        </is>
      </c>
      <c r="D89" s="4" t="inlineStr">
        <is>
          <t>Formal</t>
        </is>
      </c>
      <c r="E89" s="4" t="inlineStr">
        <is>
          <t>jemanden verantwortlich machen</t>
        </is>
      </c>
      <c r="F89" s="4" t="inlineStr">
        <is>
          <t>pedir cuentas a alguien (por)</t>
        </is>
      </c>
      <c r="G89" s="4" t="inlineStr">
        <is>
          <t>to hold s.o. accountable (for)</t>
        </is>
      </c>
      <c r="H89" s="4" t="inlineStr">
        <is>
          <t>zur Rechenschaft ziehen = to pull to account · Stärker als „verantwortlich machen</t>
        </is>
      </c>
      <c r="I89" s="4" t="inlineStr">
        <is>
          <t>,</t>
        </is>
      </c>
      <c r="J89" s="4" t="inlineStr">
        <is>
          <t>,</t>
        </is>
      </c>
      <c r="K89" s="4" t="inlineStr">
        <is>
          <t>,</t>
        </is>
      </c>
      <c r="L89" s="4" t="inlineStr">
        <is>
          <t>,</t>
        </is>
      </c>
    </row>
    <row r="90">
      <c r="A90" s="2" t="inlineStr">
        <is>
          <t>NVV089</t>
        </is>
      </c>
      <c r="B90" s="3" t="inlineStr">
        <is>
          <t>in Rechnung stellen</t>
        </is>
      </c>
      <c r="C90" s="2" t="inlineStr">
        <is>
          <t>jmdm. (Dativ)</t>
        </is>
      </c>
      <c r="D90" s="2" t="inlineStr">
        <is>
          <t>Business</t>
        </is>
      </c>
      <c r="E90" s="2" t="inlineStr">
        <is>
          <t>jemandem etwas berechnen</t>
        </is>
      </c>
      <c r="F90" s="2" t="inlineStr">
        <is>
          <t>facturar / cobrar</t>
        </is>
      </c>
      <c r="G90" s="2" t="inlineStr">
        <is>
          <t>to charge / to invoice</t>
        </is>
      </c>
      <c r="H90" s="2" t="inlineStr">
        <is>
          <t>die Rechnung ← rechnen (to calculate) + -ung · stellen = to place · Wörtlich: „in Rechnung stellen</t>
        </is>
      </c>
      <c r="I90" s="2" t="inlineStr">
        <is>
          <t>,</t>
        </is>
      </c>
      <c r="J90" s="2" t="inlineStr">
        <is>
          <t>,</t>
        </is>
      </c>
      <c r="K90" s="2" t="inlineStr">
        <is>
          <t>,</t>
        </is>
      </c>
      <c r="L90" s="2" t="inlineStr">
        <is>
          <t>,</t>
        </is>
      </c>
    </row>
    <row r="91">
      <c r="A91" s="4" t="inlineStr">
        <is>
          <t>NVV090</t>
        </is>
      </c>
      <c r="B91" s="5" t="inlineStr">
        <is>
          <t>eine Rede halten</t>
        </is>
      </c>
      <c r="C91" s="4" t="inlineStr">
        <is>
          <t>über + Akkusativ · vor + Dativ (Publikum)</t>
        </is>
      </c>
      <c r="D91" s="4" t="inlineStr">
        <is>
          <t>Neutral</t>
        </is>
      </c>
      <c r="E91" s="4" t="inlineStr">
        <is>
          <t>reden / sprechen (vor Publikum)</t>
        </is>
      </c>
      <c r="F91" s="4" t="inlineStr">
        <is>
          <t>dar un discurso (sobre)</t>
        </is>
      </c>
      <c r="G91" s="4" t="inlineStr">
        <is>
          <t>to give/deliver a speech (about)</t>
        </is>
      </c>
      <c r="H91" s="4" t="inlineStr">
        <is>
          <t>die Rede ← reden (to speak) · halten = to hold · Wörtlich: „eine Rede halten</t>
        </is>
      </c>
      <c r="I91" s="4" t="inlineStr">
        <is>
          <t>,</t>
        </is>
      </c>
      <c r="J91" s="4" t="inlineStr">
        <is>
          <t>,</t>
        </is>
      </c>
      <c r="K91" s="4" t="inlineStr">
        <is>
          <t>,</t>
        </is>
      </c>
      <c r="L91" s="4" t="inlineStr">
        <is>
          <t>,</t>
        </is>
      </c>
    </row>
    <row r="92">
      <c r="A92" s="2" t="inlineStr">
        <is>
          <t>NVV091</t>
        </is>
      </c>
      <c r="B92" s="3" t="inlineStr">
        <is>
          <t>jemanden zur Rede stellen</t>
        </is>
      </c>
      <c r="C92" s="2" t="inlineStr">
        <is>
          <t>— (kein Präposition nötig, Objekt im Akk)</t>
        </is>
      </c>
      <c r="D92" s="2" t="inlineStr">
        <is>
          <t>Formal</t>
        </is>
      </c>
      <c r="E92" s="2" t="inlineStr">
        <is>
          <t>jemanden zur Erklärung auffordern / konfrontieren</t>
        </is>
      </c>
      <c r="F92" s="2" t="inlineStr">
        <is>
          <t>pedir explicaciones a alguien</t>
        </is>
      </c>
      <c r="G92" s="2" t="inlineStr">
        <is>
          <t>to call s.o. to account / to confront</t>
        </is>
      </c>
      <c r="H92" s="2" t="inlineStr">
        <is>
          <t>zur Rede stellen = to place for speech = to demand an explanation · Konnotation: konfrontativ — man fordert eine Rechtfertigung</t>
        </is>
      </c>
      <c r="I92" s="2" t="inlineStr">
        <is>
          <t>jmdn. wegen + Gen. / für + Akk. zur Rede stellen · ≈ jmdn. konfrontieren</t>
        </is>
      </c>
      <c r="J92" s="2" t="inlineStr">
        <is>
          <t>Der Verwaltungsmitarbeiter wurde zur Rede gestellt.</t>
        </is>
      </c>
      <c r="K92" s="2" t="inlineStr">
        <is>
          <t>Se pidieron explicaciones al empleado administrativo.</t>
        </is>
      </c>
      <c r="L92" s="2" t="inlineStr">
        <is>
          <t>The administrative employee was called to account.</t>
        </is>
      </c>
    </row>
    <row r="93">
      <c r="A93" s="4" t="inlineStr">
        <is>
          <t>NVV092</t>
        </is>
      </c>
      <c r="B93" s="5" t="inlineStr">
        <is>
          <t>Rücksicht nehmen auf</t>
        </is>
      </c>
      <c r="C93" s="4" t="inlineStr">
        <is>
          <t>auf + Akkusativ</t>
        </is>
      </c>
      <c r="D93" s="4" t="inlineStr">
        <is>
          <t>Neutral</t>
        </is>
      </c>
      <c r="E93" s="4" t="inlineStr">
        <is>
          <t>die Interessen anderer beachten / berücksichtigen</t>
        </is>
      </c>
      <c r="F93" s="4" t="inlineStr">
        <is>
          <t>tener consideración con</t>
        </is>
      </c>
      <c r="G93" s="4" t="inlineStr">
        <is>
          <t>to show consideration for / to take into account</t>
        </is>
      </c>
      <c r="H93" s="4" t="inlineStr">
        <is>
          <t>die Rücksicht ← Rück- (back) + Sicht (sight) → „Rückblick auf andere</t>
        </is>
      </c>
      <c r="I93" s="4">
        <f> to take back-sight = to be considerate</f>
        <v/>
      </c>
      <c r="J93" s="4" t="inlineStr">
        <is>
          <t>keine / große / besondere Rücksicht nehmen · rücksichtsvoll / rücksichtslos sein (Adjektive)</t>
        </is>
      </c>
      <c r="K93" s="4" t="inlineStr">
        <is>
          <t>Er nimmt keine Rücksicht auf seine Nachbarn.</t>
        </is>
      </c>
      <c r="L93" s="4" t="inlineStr">
        <is>
          <t>No tiene consideración con sus vecinos.</t>
        </is>
      </c>
    </row>
    <row r="94">
      <c r="A94" s="2" t="inlineStr">
        <is>
          <t>NVV093</t>
        </is>
      </c>
      <c r="B94" s="3" t="inlineStr">
        <is>
          <t>in Sicht sein</t>
        </is>
      </c>
      <c r="C94" s="2" t="inlineStr">
        <is>
          <t>in + Dativ</t>
        </is>
      </c>
      <c r="D94" s="2" t="inlineStr">
        <is>
          <t>Neutral</t>
        </is>
      </c>
      <c r="E94" s="2" t="inlineStr">
        <is>
          <t>erwartet werden / absehbar sein</t>
        </is>
      </c>
      <c r="F94" s="2" t="inlineStr">
        <is>
          <t>estar a la vista</t>
        </is>
      </c>
      <c r="G94" s="2" t="inlineStr">
        <is>
          <t>to be in sight</t>
        </is>
      </c>
      <c r="H94" s="2" t="inlineStr">
        <is>
          <t>die Sicht ← sehen (to see) → Sicht (sight) · sein = to be · Wörtlich: „in Sicht sein</t>
        </is>
      </c>
      <c r="I94" s="2" t="inlineStr">
        <is>
          <t>,</t>
        </is>
      </c>
      <c r="J94" s="2" t="inlineStr">
        <is>
          <t>,</t>
        </is>
      </c>
      <c r="K94" s="2" t="inlineStr">
        <is>
          <t>,</t>
        </is>
      </c>
      <c r="L94" s="2" t="inlineStr">
        <is>
          <t>,</t>
        </is>
      </c>
    </row>
    <row r="95">
      <c r="A95" s="4" t="inlineStr">
        <is>
          <t>NVV094</t>
        </is>
      </c>
      <c r="B95" s="5" t="inlineStr">
        <is>
          <t>zur Sprache bringen / kommen</t>
        </is>
      </c>
      <c r="C95" s="4" t="inlineStr">
        <is>
          <t>zur (zu + der) + Dativ</t>
        </is>
      </c>
      <c r="D95" s="4" t="inlineStr">
        <is>
          <t>Neutral</t>
        </is>
      </c>
      <c r="E95" s="4" t="inlineStr">
        <is>
          <t>etwas ansprechen / besprochen werden</t>
        </is>
      </c>
      <c r="F95" s="4" t="inlineStr">
        <is>
          <t>sacar a colación / mencionarse</t>
        </is>
      </c>
      <c r="G95" s="4" t="inlineStr">
        <is>
          <t>to bring up / to come up (in discussion)</t>
        </is>
      </c>
      <c r="H95" s="4" t="inlineStr">
        <is>
          <t>die Sprache = language/speech · bringen = to bring (aktiv) · kommen = to come (passiv/zufällig) · Wörtlich: „zur Sprache bringen</t>
        </is>
      </c>
      <c r="I95" s="4" t="inlineStr">
        <is>
          <t>,</t>
        </is>
      </c>
      <c r="J95" s="4" t="inlineStr">
        <is>
          <t>,</t>
        </is>
      </c>
      <c r="K95" s="4" t="inlineStr">
        <is>
          <t>,</t>
        </is>
      </c>
      <c r="L95" s="4" t="inlineStr">
        <is>
          <t>,</t>
        </is>
      </c>
    </row>
    <row r="96">
      <c r="A96" s="2" t="inlineStr">
        <is>
          <t>NVV095</t>
        </is>
      </c>
      <c r="B96" s="3" t="inlineStr">
        <is>
          <t>Stellung nehmen</t>
        </is>
      </c>
      <c r="C96" s="2" t="inlineStr">
        <is>
          <t>zu + Dativ</t>
        </is>
      </c>
      <c r="D96" s="2" t="inlineStr">
        <is>
          <t>Formal</t>
        </is>
      </c>
      <c r="E96" s="2" t="inlineStr">
        <is>
          <t>etwas begründen / sich äußern zu</t>
        </is>
      </c>
      <c r="F96" s="2" t="inlineStr">
        <is>
          <t>pronunciarse / tomar posición (sobre)</t>
        </is>
      </c>
      <c r="G96" s="2" t="inlineStr">
        <is>
          <t>to take a position on / to comment on</t>
        </is>
      </c>
      <c r="H96" s="2" t="inlineStr">
        <is>
          <t>die Stellung ← stellen (to place) + -ung → position · nehmen = to take · Wörtlich: „Stellung nehmen</t>
        </is>
      </c>
      <c r="I96" s="2" t="inlineStr">
        <is>
          <t>,</t>
        </is>
      </c>
      <c r="J96" s="2" t="inlineStr">
        <is>
          <t>,</t>
        </is>
      </c>
      <c r="K96" s="2" t="inlineStr">
        <is>
          <t>,</t>
        </is>
      </c>
      <c r="L96" s="2" t="inlineStr">
        <is>
          <t>,</t>
        </is>
      </c>
    </row>
    <row r="97">
      <c r="A97" s="4" t="inlineStr">
        <is>
          <t>NVV096</t>
        </is>
      </c>
      <c r="B97" s="5" t="inlineStr">
        <is>
          <t>etwas unter Strafe stellen / stehen</t>
        </is>
      </c>
      <c r="C97" s="4" t="inlineStr">
        <is>
          <t>unter + Akk (stellen) · unter + Dat (stehen)</t>
        </is>
      </c>
      <c r="D97" s="4" t="inlineStr">
        <is>
          <t>Legal</t>
        </is>
      </c>
      <c r="E97" s="4" t="inlineStr">
        <is>
          <t>bestraft werden / strafbar sein</t>
        </is>
      </c>
      <c r="F97" s="4" t="inlineStr">
        <is>
          <t>penalizar / estar penalizado</t>
        </is>
      </c>
      <c r="G97" s="4" t="inlineStr">
        <is>
          <t>to make punishable / to be a criminal offence</t>
        </is>
      </c>
      <c r="H97" s="4" t="inlineStr">
        <is>
          <t>die Strafe = punishment · stellen = to place · stehen = to stand · Wörtlich: „unter Strafe stellen</t>
        </is>
      </c>
      <c r="I97" s="4" t="inlineStr">
        <is>
          <t>,</t>
        </is>
      </c>
      <c r="J97" s="4" t="inlineStr">
        <is>
          <t>,</t>
        </is>
      </c>
      <c r="K97" s="4" t="inlineStr">
        <is>
          <t>,</t>
        </is>
      </c>
      <c r="L97" s="4" t="inlineStr">
        <is>
          <t>,</t>
        </is>
      </c>
    </row>
    <row r="98">
      <c r="A98" s="2" t="inlineStr">
        <is>
          <t>NVV097</t>
        </is>
      </c>
      <c r="B98" s="3" t="inlineStr">
        <is>
          <t>in Streik treten</t>
        </is>
      </c>
      <c r="C98" s="2" t="inlineStr">
        <is>
          <t>in + Akkusativ</t>
        </is>
      </c>
      <c r="D98" s="2" t="inlineStr">
        <is>
          <t>Neutral</t>
        </is>
      </c>
      <c r="E98" s="2" t="inlineStr">
        <is>
          <t>streiken / die Arbeit niederlegen</t>
        </is>
      </c>
      <c r="F98" s="2" t="inlineStr">
        <is>
          <t>ir a la huelga</t>
        </is>
      </c>
      <c r="G98" s="2" t="inlineStr">
        <is>
          <t>to go on strike</t>
        </is>
      </c>
      <c r="H98" s="2" t="inlineStr">
        <is>
          <t>der Streik ← engl. strike · treten = to step · Wörtlich: „in Streik treten</t>
        </is>
      </c>
      <c r="I98" s="2" t="inlineStr">
        <is>
          <t>,</t>
        </is>
      </c>
      <c r="J98" s="2" t="inlineStr">
        <is>
          <t>,</t>
        </is>
      </c>
      <c r="K98" s="2" t="inlineStr">
        <is>
          <t>,</t>
        </is>
      </c>
      <c r="L98" s="2" t="inlineStr">
        <is>
          <t>,</t>
        </is>
      </c>
    </row>
    <row r="99">
      <c r="A99" s="4" t="inlineStr">
        <is>
          <t>NVV098</t>
        </is>
      </c>
      <c r="B99" s="5" t="inlineStr">
        <is>
          <t>Überlegungen anstellen</t>
        </is>
      </c>
      <c r="C99" s="4" t="inlineStr">
        <is>
          <t>zu + Dativ · Nebensatz: ob / wie …</t>
        </is>
      </c>
      <c r="D99" s="4" t="inlineStr">
        <is>
          <t>Formal</t>
        </is>
      </c>
      <c r="E99" s="4" t="inlineStr">
        <is>
          <t>nachdenken / überlegen</t>
        </is>
      </c>
      <c r="F99" s="4" t="inlineStr">
        <is>
          <t>hacer reflexiones (sobre)</t>
        </is>
      </c>
      <c r="G99" s="4" t="inlineStr">
        <is>
          <t>to make deliberations / to reflect on</t>
        </is>
      </c>
      <c r="H99" s="4" t="inlineStr">
        <is>
          <t>die Überlegung ← über- (over) + legen (to lay) + -ung → „darüberlegen</t>
        </is>
      </c>
      <c r="I99" s="4">
        <f> to initiate deliberations</f>
        <v/>
      </c>
      <c r="J99" s="4" t="inlineStr">
        <is>
          <t>grundlegende / strategische / einige Überlegungen anstellen · Überlegungen anstellen, ob / wie …</t>
        </is>
      </c>
      <c r="K99" s="4" t="inlineStr">
        <is>
          <t>Das Arbeitsministerium muss noch einige Überlegungen anstellen.</t>
        </is>
      </c>
      <c r="L99" s="4" t="inlineStr">
        <is>
          <t>El ministerio de trabajo aún debe hacer algunas reflexiones.</t>
        </is>
      </c>
    </row>
    <row r="100">
      <c r="A100" s="2" t="inlineStr">
        <is>
          <t>NVV099</t>
        </is>
      </c>
      <c r="B100" s="3" t="inlineStr">
        <is>
          <t>Unterstützung genießen/finden</t>
        </is>
      </c>
      <c r="C100" s="2" t="inlineStr">
        <is>
          <t>bei + Dativ (Personen)</t>
        </is>
      </c>
      <c r="D100" s="2" t="inlineStr">
        <is>
          <t>Neutral</t>
        </is>
      </c>
      <c r="E100" s="2" t="inlineStr">
        <is>
          <t>unterstützt werden</t>
        </is>
      </c>
      <c r="F100" s="2" t="inlineStr">
        <is>
          <t>recibir apoyo (de)</t>
        </is>
      </c>
      <c r="G100" s="2" t="inlineStr">
        <is>
          <t>to enjoy/find support (from)</t>
        </is>
      </c>
      <c r="H100" s="2" t="inlineStr">
        <is>
          <t>die Unterstützung ← unter- + stützen (to support) + -ung · genießen = to enjoy (dauerhaft) · finden = to find (einmalig)</t>
        </is>
      </c>
      <c r="I100" s="2" t="inlineStr">
        <is>
          <t>große / breite / finanzielle / politische Unterstützung genießen/finden · Unterstützung bei der Bevölkerung</t>
        </is>
      </c>
      <c r="J100" s="2" t="inlineStr">
        <is>
          <t>Die Hilfsaktion fand große Unterstützung bei der Bevölkerung.</t>
        </is>
      </c>
      <c r="K100" s="2" t="inlineStr">
        <is>
          <t>La acción de ayuda recibió gran apoyo de la población.</t>
        </is>
      </c>
      <c r="L100" s="2" t="inlineStr">
        <is>
          <t>The relief effort found great support among the population.</t>
        </is>
      </c>
    </row>
    <row r="101">
      <c r="A101" s="4" t="inlineStr">
        <is>
          <t>NVV100</t>
        </is>
      </c>
      <c r="B101" s="5" t="inlineStr">
        <is>
          <t>ein/das Urteil fällen</t>
        </is>
      </c>
      <c r="C101" s="4" t="inlineStr">
        <is>
          <t>über + Akk · in + Dat (Prozess)</t>
        </is>
      </c>
      <c r="D101" s="4" t="inlineStr">
        <is>
          <t>Legal + Neutral</t>
        </is>
      </c>
      <c r="E101" s="4" t="inlineStr"/>
      <c r="F101" s="4" t="inlineStr">
        <is>
          <t>etwas beurteilen / Recht sprechen</t>
        </is>
      </c>
      <c r="G101" s="4" t="inlineStr">
        <is>
          <t>emitir un juicio / dictar sentencia</t>
        </is>
      </c>
      <c r="H101" s="4" t="inlineStr">
        <is>
          <t>to pass judgement / to reach a verdict</t>
        </is>
      </c>
      <c r="I101" s="4" t="inlineStr">
        <is>
          <t>das Urteil ← ur- (original) + Teil (part) → „Urteil = ursprüngliche Teilung/Entscheidung</t>
        </is>
      </c>
      <c r="J101" s="4">
        <f> to fell a judgement</f>
        <v/>
      </c>
      <c r="K101" s="4" t="inlineStr">
        <is>
          <t>ein mildes / hartes / gerechtes / vorschnelles Urteil fällen · ⚠️ Doppelbedeutung: juristisch (Gericht) + allgemein (persönliche Bewertung)</t>
        </is>
      </c>
      <c r="L101" s="4" t="inlineStr">
        <is>
          <t>Das Gericht fällte heute das Urteil in dem Korruptionsprozess.</t>
        </is>
      </c>
    </row>
    <row r="102">
      <c r="A102" s="2" t="inlineStr">
        <is>
          <t>NVV101</t>
        </is>
      </c>
      <c r="B102" s="3" t="inlineStr">
        <is>
          <t>Verantwortung übernehmen</t>
        </is>
      </c>
      <c r="C102" s="2" t="inlineStr">
        <is>
          <t>für + Akkusativ</t>
        </is>
      </c>
      <c r="D102" s="2" t="inlineStr">
        <is>
          <t>Neutral</t>
        </is>
      </c>
      <c r="E102" s="2" t="inlineStr">
        <is>
          <t>sich verantwortlich zeigen</t>
        </is>
      </c>
      <c r="F102" s="2" t="inlineStr">
        <is>
          <t>asumir la responsabilidad (de/por)</t>
        </is>
      </c>
      <c r="G102" s="2" t="inlineStr">
        <is>
          <t>to take/assume responsibility (for)</t>
        </is>
      </c>
      <c r="H102" s="2" t="inlineStr">
        <is>
          <t>die Verantwortung ← ver- + antworten (to answer) + -ung → „für etwas Antwort geben</t>
        </is>
      </c>
      <c r="I102" s="2">
        <f> to take over the duty to answer</f>
        <v/>
      </c>
      <c r="J102" s="2" t="inlineStr">
        <is>
          <t>die volle / persönliche / politische Verantwortung übernehmen · die Verantwortung abgeben / ablehnen</t>
        </is>
      </c>
      <c r="K102" s="2" t="inlineStr">
        <is>
          <t>Der Kapitän übernahm für den Seeunfall die volle Verantwortung.</t>
        </is>
      </c>
      <c r="L102" s="2" t="inlineStr">
        <is>
          <t>El capitán asumió toda la responsabilidad por el accidente marítimo.</t>
        </is>
      </c>
    </row>
    <row r="103">
      <c r="A103" s="4" t="inlineStr">
        <is>
          <t>NVV102</t>
        </is>
      </c>
      <c r="B103" s="5" t="inlineStr">
        <is>
          <t>Verantwortung tragen für / jmdn. zur Verantwortung ziehen</t>
        </is>
      </c>
      <c r="C103" s="4" t="inlineStr">
        <is>
          <t>für + Akk (tragen) · zur + Dat (ziehen)</t>
        </is>
      </c>
      <c r="D103" s="4" t="inlineStr">
        <is>
          <t>Formal</t>
        </is>
      </c>
      <c r="E103" s="4" t="inlineStr">
        <is>
          <t>verantwortlich sein / jmdn. verantwortlich machen</t>
        </is>
      </c>
      <c r="F103" s="4" t="inlineStr">
        <is>
          <t>cargar con la responsabilidad / pedir responsabilidades</t>
        </is>
      </c>
      <c r="G103" s="4" t="inlineStr">
        <is>
          <t>to bear responsibility / to hold s.o. responsible</t>
        </is>
      </c>
      <c r="H103" s="4" t="inlineStr">
        <is>
          <t>tragen = to carry · ziehen = to pull · Wörtlich: „Verantwortung tragen</t>
        </is>
      </c>
      <c r="I103" s="4">
        <f> to pull to responsibility</f>
        <v/>
      </c>
      <c r="J103" s="4" t="inlineStr">
        <is>
          <t>die alleinige / politische Verantwortung tragen · jmdn. für etwas zur Verantwortung ziehen · ≈ zur Rechenschaft ziehen</t>
        </is>
      </c>
      <c r="K103" s="4" t="inlineStr">
        <is>
          <t>Wer trägt die Verantwortung dafür? Unfähige Manager werden zur Verantwortung gezogen.</t>
        </is>
      </c>
      <c r="L103" s="4" t="inlineStr">
        <is>
          <t>¿Quién carga con la responsabilidad? Los gerentes incapaces son responsabilizados.</t>
        </is>
      </c>
    </row>
    <row r="104">
      <c r="A104" s="2" t="inlineStr">
        <is>
          <t>NVV103</t>
        </is>
      </c>
      <c r="B104" s="3" t="inlineStr">
        <is>
          <t>Verbesserungen durchführen/vornehmen</t>
        </is>
      </c>
      <c r="C104" s="2" t="inlineStr">
        <is>
          <t>an + Dativ</t>
        </is>
      </c>
      <c r="D104" s="2" t="inlineStr">
        <is>
          <t>Neutral</t>
        </is>
      </c>
      <c r="E104" s="2" t="inlineStr">
        <is>
          <t>verbessern</t>
        </is>
      </c>
      <c r="F104" s="2" t="inlineStr">
        <is>
          <t>realizar mejoras (en)</t>
        </is>
      </c>
      <c r="G104" s="2" t="inlineStr">
        <is>
          <t>to make improvements (to)</t>
        </is>
      </c>
      <c r="H104" s="2" t="inlineStr">
        <is>
          <t>die Verbesserung ← ver- + besser (better) + -ung · vornehmen = to undertake · durchführen = to carry out · Wörtlich: „Verbesserungen vornehmen</t>
        </is>
      </c>
      <c r="I104" s="2" t="inlineStr">
        <is>
          <t>,</t>
        </is>
      </c>
      <c r="J104" s="2" t="inlineStr">
        <is>
          <t>,</t>
        </is>
      </c>
      <c r="K104" s="2" t="inlineStr">
        <is>
          <t>,</t>
        </is>
      </c>
      <c r="L104" s="2" t="inlineStr">
        <is>
          <t>,</t>
        </is>
      </c>
    </row>
    <row r="105">
      <c r="A105" s="4" t="inlineStr">
        <is>
          <t>NVV104</t>
        </is>
      </c>
      <c r="B105" s="5" t="inlineStr">
        <is>
          <t>sich in Verbindung setzen mit</t>
        </is>
      </c>
      <c r="C105" s="4" t="inlineStr">
        <is>
          <t>mit + Dativ · in + Akk</t>
        </is>
      </c>
      <c r="D105" s="4" t="inlineStr">
        <is>
          <t>Formal</t>
        </is>
      </c>
      <c r="E105" s="4" t="inlineStr">
        <is>
          <t>jemanden kontaktieren</t>
        </is>
      </c>
      <c r="F105" s="4" t="inlineStr">
        <is>
          <t>ponerse en contacto con</t>
        </is>
      </c>
      <c r="G105" s="4" t="inlineStr">
        <is>
          <t>to get in touch with</t>
        </is>
      </c>
      <c r="H105" s="4" t="inlineStr">
        <is>
          <t>die Verbindung ← ver- + binden (to bind) + -ung · sich setzen = to place oneself · Wörtlich: „sich in Verbindung setzen</t>
        </is>
      </c>
      <c r="I105" s="4" t="inlineStr">
        <is>
          <t>,</t>
        </is>
      </c>
      <c r="J105" s="4" t="inlineStr">
        <is>
          <t>,</t>
        </is>
      </c>
      <c r="K105" s="4" t="inlineStr">
        <is>
          <t>,</t>
        </is>
      </c>
      <c r="L105" s="4" t="inlineStr">
        <is>
          <t>,</t>
        </is>
      </c>
    </row>
    <row r="106">
      <c r="A106" s="2" t="inlineStr">
        <is>
          <t>NVV105</t>
        </is>
      </c>
      <c r="B106" s="3" t="inlineStr">
        <is>
          <t>in Verbindung stehen</t>
        </is>
      </c>
      <c r="C106" s="2" t="inlineStr">
        <is>
          <t>mit + Dativ · in + Dat</t>
        </is>
      </c>
      <c r="D106" s="2" t="inlineStr">
        <is>
          <t>Neutral</t>
        </is>
      </c>
      <c r="E106" s="2" t="inlineStr">
        <is>
          <t>Kontakt haben (mit jmdm.)</t>
        </is>
      </c>
      <c r="F106" s="2" t="inlineStr">
        <is>
          <t>estar en contacto (con)</t>
        </is>
      </c>
      <c r="G106" s="2" t="inlineStr">
        <is>
          <t>to be in contact (with)</t>
        </is>
      </c>
      <c r="H106" s="2" t="inlineStr">
        <is>
          <t>stehen = to stand · Wörtlich: „in Verbindung stehen</t>
        </is>
      </c>
      <c r="I106" s="2" t="inlineStr">
        <is>
          <t>,</t>
        </is>
      </c>
      <c r="J106" s="2" t="inlineStr">
        <is>
          <t>,</t>
        </is>
      </c>
      <c r="K106" s="2" t="inlineStr">
        <is>
          <t>,</t>
        </is>
      </c>
      <c r="L106" s="2" t="inlineStr">
        <is>
          <t>,</t>
        </is>
      </c>
    </row>
    <row r="107">
      <c r="A107" s="4" t="inlineStr">
        <is>
          <t>NVV106</t>
        </is>
      </c>
      <c r="B107" s="5" t="inlineStr">
        <is>
          <t>ein Verbrechen begehen/verüben</t>
        </is>
      </c>
      <c r="C107" s="4" t="inlineStr">
        <is>
          <t>— (kein Präposition nötig, Objekt im Akk)</t>
        </is>
      </c>
      <c r="D107" s="4" t="inlineStr">
        <is>
          <t>Legal</t>
        </is>
      </c>
      <c r="E107" s="4" t="inlineStr">
        <is>
          <t>kriminell handeln / eine Straftat begehen</t>
        </is>
      </c>
      <c r="F107" s="4" t="inlineStr">
        <is>
          <t>cometer un delito/crimen</t>
        </is>
      </c>
      <c r="G107" s="4" t="inlineStr">
        <is>
          <t>to commit a crime</t>
        </is>
      </c>
      <c r="H107" s="4" t="inlineStr">
        <is>
          <t>das Verbrechen ← ver- + brechen (to break) → „etwas Gesetzwidriges tun</t>
        </is>
      </c>
      <c r="I107" s="4">
        <f> to commit a law-breaking</f>
        <v/>
      </c>
      <c r="J107" s="4" t="inlineStr">
        <is>
          <t>ein schweres / grausames Verbrechen begehen · eine Straftat begehen / verüben · ⚠️ verüben = gewalttätiger Kontext</t>
        </is>
      </c>
      <c r="K107" s="4" t="inlineStr">
        <is>
          <t>Kaum aus der Haft entlassen, beging Harald K. das nächste Verbrechen.</t>
        </is>
      </c>
      <c r="L107" s="4" t="inlineStr">
        <is>
          <t>Apenas salido de prisión, Harald K. cometió el siguiente delito.</t>
        </is>
      </c>
    </row>
    <row r="108">
      <c r="A108" s="2" t="inlineStr">
        <is>
          <t>NVV107</t>
        </is>
      </c>
      <c r="B108" s="3" t="inlineStr">
        <is>
          <t>Verdacht hegen/schöpfen</t>
        </is>
      </c>
      <c r="C108" s="2" t="inlineStr">
        <is>
          <t>gegen + Akk · unter Verdacht stehen</t>
        </is>
      </c>
      <c r="D108" s="2" t="inlineStr">
        <is>
          <t>Formal</t>
        </is>
      </c>
      <c r="E108" s="2" t="inlineStr">
        <is>
          <t>jemanden verdächtigen / verdächtigt werden</t>
        </is>
      </c>
      <c r="F108" s="2" t="inlineStr">
        <is>
          <t>sospechar (de) / estar bajo sospecha</t>
        </is>
      </c>
      <c r="G108" s="2" t="inlineStr">
        <is>
          <t>to harbour suspicion / to become suspicious</t>
        </is>
      </c>
      <c r="H108" s="2" t="inlineStr">
        <is>
          <t>der Verdacht ← ver- + Dacht (von denken) → „heimliches Denken</t>
        </is>
      </c>
      <c r="I108" s="2">
        <f> Verdacht bekommen)</f>
        <v/>
      </c>
      <c r="J108" s="2" t="inlineStr">
        <is>
          <t>keinen / einen begründeten / dringenden Verdacht hegen · Verdacht schöpfen (= to become suspicious) · unter dringendem Verdacht stehen</t>
        </is>
      </c>
      <c r="K108" s="2" t="inlineStr">
        <is>
          <t>Die Studenten hegten keinen Verdacht gegen ihren Mitbewohner.</t>
        </is>
      </c>
      <c r="L108" s="2" t="inlineStr">
        <is>
          <t>Los estudiantes no sospechaban de su compañero de piso.</t>
        </is>
      </c>
    </row>
    <row r="109">
      <c r="A109" s="4" t="inlineStr">
        <is>
          <t>NVV108</t>
        </is>
      </c>
      <c r="B109" s="5" t="inlineStr">
        <is>
          <t>eine Vereinbarung treffen</t>
        </is>
      </c>
      <c r="C109" s="4" t="inlineStr">
        <is>
          <t>über + Akkusativ · mit + Dat</t>
        </is>
      </c>
      <c r="D109" s="4" t="inlineStr">
        <is>
          <t>Formal</t>
        </is>
      </c>
      <c r="E109" s="4" t="inlineStr">
        <is>
          <t>etwas vereinbaren</t>
        </is>
      </c>
      <c r="F109" s="4" t="inlineStr">
        <is>
          <t>llegar a un acuerdo (sobre)</t>
        </is>
      </c>
      <c r="G109" s="4" t="inlineStr">
        <is>
          <t>to reach/make an agreement (on)</t>
        </is>
      </c>
      <c r="H109" s="4" t="inlineStr">
        <is>
          <t>die Vereinbarung ← ver- + einbar (vereinbar = compatible) + -ung · treffen = to hit/meet · Wörtlich: „eine Vereinbarung treffen</t>
        </is>
      </c>
      <c r="I109" s="4" t="inlineStr">
        <is>
          <t>,</t>
        </is>
      </c>
      <c r="J109" s="4" t="inlineStr">
        <is>
          <t>,</t>
        </is>
      </c>
      <c r="K109" s="4" t="inlineStr">
        <is>
          <t>,</t>
        </is>
      </c>
      <c r="L109" s="4" t="inlineStr">
        <is>
          <t>,</t>
        </is>
      </c>
    </row>
    <row r="110">
      <c r="A110" s="2" t="inlineStr">
        <is>
          <t>NVV109</t>
        </is>
      </c>
      <c r="B110" s="3" t="inlineStr">
        <is>
          <t>zur Verfügung stellen / stehen</t>
        </is>
      </c>
      <c r="C110" s="2" t="inlineStr">
        <is>
          <t>jmdm. (Dativ) · zur + Dat</t>
        </is>
      </c>
      <c r="D110" s="2" t="inlineStr">
        <is>
          <t>Neutral</t>
        </is>
      </c>
      <c r="E110" s="2" t="inlineStr">
        <is>
          <t>etwas bereitstellen / gebraucht werden können</t>
        </is>
      </c>
      <c r="F110" s="2" t="inlineStr">
        <is>
          <t>poner a disposición / estar disponible</t>
        </is>
      </c>
      <c r="G110" s="2" t="inlineStr">
        <is>
          <t>to make available / to be available</t>
        </is>
      </c>
      <c r="H110" s="2" t="inlineStr">
        <is>
          <t>die Verfügung ← ver- + fügen (to dispose/arrange) + -ung · stellen = to place (aktiv) · stehen = to stand (passiv) · Wörtlich: „zur Verfügung stellen</t>
        </is>
      </c>
      <c r="I110" s="2" t="inlineStr">
        <is>
          <t>,</t>
        </is>
      </c>
      <c r="J110" s="2" t="inlineStr">
        <is>
          <t>,</t>
        </is>
      </c>
      <c r="K110" s="2" t="inlineStr">
        <is>
          <t>,</t>
        </is>
      </c>
      <c r="L110" s="2" t="inlineStr">
        <is>
          <t>,</t>
        </is>
      </c>
    </row>
    <row r="111">
      <c r="A111" s="4" t="inlineStr">
        <is>
          <t>NVV110</t>
        </is>
      </c>
      <c r="B111" s="5" t="inlineStr">
        <is>
          <t>Verhandlungen führen</t>
        </is>
      </c>
      <c r="C111" s="4" t="inlineStr">
        <is>
          <t>mit + Dativ · über + Akk</t>
        </is>
      </c>
      <c r="D111" s="4" t="inlineStr">
        <is>
          <t>Formal</t>
        </is>
      </c>
      <c r="E111" s="4" t="inlineStr">
        <is>
          <t>verhandeln</t>
        </is>
      </c>
      <c r="F111" s="4" t="inlineStr">
        <is>
          <t>llevar/sostener negociaciones (con)</t>
        </is>
      </c>
      <c r="G111" s="4" t="inlineStr">
        <is>
          <t>to conduct negotiations (with)</t>
        </is>
      </c>
      <c r="H111" s="4" t="inlineStr">
        <is>
          <t>die Verhandlung ← ver- + handeln (to act/trade) + -ung · führen = to lead · Wörtlich: „Verhandlungen führen</t>
        </is>
      </c>
      <c r="I111" s="4" t="inlineStr">
        <is>
          <t>,</t>
        </is>
      </c>
      <c r="J111" s="4" t="inlineStr">
        <is>
          <t>,</t>
        </is>
      </c>
      <c r="K111" s="4" t="inlineStr">
        <is>
          <t>,</t>
        </is>
      </c>
      <c r="L111" s="4" t="inlineStr">
        <is>
          <t>,</t>
        </is>
      </c>
    </row>
    <row r="112">
      <c r="A112" s="2" t="inlineStr">
        <is>
          <t>NVV111</t>
        </is>
      </c>
      <c r="B112" s="3" t="inlineStr">
        <is>
          <t>Verständnis haben/zeigen</t>
        </is>
      </c>
      <c r="C112" s="2" t="inlineStr">
        <is>
          <t>für + Akkusativ</t>
        </is>
      </c>
      <c r="D112" s="2" t="inlineStr">
        <is>
          <t>Neutral</t>
        </is>
      </c>
      <c r="E112" s="2" t="inlineStr">
        <is>
          <t>etwas verstehen / nachvollziehen können</t>
        </is>
      </c>
      <c r="F112" s="2" t="inlineStr">
        <is>
          <t>tener/mostrar comprensión (por)</t>
        </is>
      </c>
      <c r="G112" s="2" t="inlineStr">
        <is>
          <t>to have/show understanding (for)</t>
        </is>
      </c>
      <c r="H112" s="2" t="inlineStr">
        <is>
          <t>das Verständnis ← ver- + Stand (standing) + -nis → „Verstehen</t>
        </is>
      </c>
      <c r="I112" s="2">
        <f> to show understanding</f>
        <v/>
      </c>
      <c r="J112" s="2" t="inlineStr">
        <is>
          <t>volles / großes / kein / wenig Verständnis haben/zeigen · um Verständnis bitten</t>
        </is>
      </c>
      <c r="K112" s="2" t="inlineStr">
        <is>
          <t>Wir haben Verständnis für Ihre Situation.</t>
        </is>
      </c>
      <c r="L112" s="2" t="inlineStr">
        <is>
          <t>Tenemos comprensión para su situación.</t>
        </is>
      </c>
    </row>
    <row r="113">
      <c r="A113" s="4" t="inlineStr">
        <is>
          <t>NVV112</t>
        </is>
      </c>
      <c r="B113" s="5" t="inlineStr">
        <is>
          <t>einen Versuch unternehmen</t>
        </is>
      </c>
      <c r="C113" s="4" t="inlineStr">
        <is>
          <t>— (kein Präposition nötig) · Infinitiv mit zu</t>
        </is>
      </c>
      <c r="D113" s="4" t="inlineStr">
        <is>
          <t>Neutral</t>
        </is>
      </c>
      <c r="E113" s="4" t="inlineStr">
        <is>
          <t>etwas versuchen</t>
        </is>
      </c>
      <c r="F113" s="4" t="inlineStr">
        <is>
          <t>hacer un intento</t>
        </is>
      </c>
      <c r="G113" s="4" t="inlineStr">
        <is>
          <t>to make an attempt</t>
        </is>
      </c>
      <c r="H113" s="4" t="inlineStr">
        <is>
          <t>der Versuch ← ver- + suchen (to search) → „probieren</t>
        </is>
      </c>
      <c r="I113" s="4">
        <f> to undertake an attempt</f>
        <v/>
      </c>
      <c r="J113" s="4" t="inlineStr">
        <is>
          <t>einen letzten / verzweifelten / erneuten / weiteren Versuch unternehmen</t>
        </is>
      </c>
      <c r="K113" s="4" t="inlineStr">
        <is>
          <t>Ihr müsst noch einen Versuch unternehmen.</t>
        </is>
      </c>
      <c r="L113" s="4" t="inlineStr">
        <is>
          <t>Debéis hacer un intento más.</t>
        </is>
      </c>
    </row>
    <row r="114">
      <c r="A114" s="2" t="inlineStr">
        <is>
          <t>NVV113</t>
        </is>
      </c>
      <c r="B114" s="3" t="inlineStr">
        <is>
          <t>Verwendung finden</t>
        </is>
      </c>
      <c r="C114" s="2" t="inlineStr">
        <is>
          <t>bei + Dativ · in + Dat</t>
        </is>
      </c>
      <c r="D114" s="2" t="inlineStr">
        <is>
          <t>Formal Written</t>
        </is>
      </c>
      <c r="E114" s="2" t="inlineStr">
        <is>
          <t>verwendet werden</t>
        </is>
      </c>
      <c r="F114" s="2" t="inlineStr">
        <is>
          <t>encontrar uso / ser utilizado (en)</t>
        </is>
      </c>
      <c r="G114" s="2" t="inlineStr">
        <is>
          <t>to find use / to be used (in)</t>
        </is>
      </c>
      <c r="H114" s="2" t="inlineStr">
        <is>
          <t>die Verwendung ← ver- + wenden (to turn/use) + -ung · finden = to find · Wörtlich: „Verwendung finden</t>
        </is>
      </c>
      <c r="I114" s="2" t="inlineStr">
        <is>
          <t>,</t>
        </is>
      </c>
      <c r="J114" s="2" t="inlineStr">
        <is>
          <t>,</t>
        </is>
      </c>
      <c r="K114" s="2" t="inlineStr">
        <is>
          <t>,</t>
        </is>
      </c>
      <c r="L114" s="2" t="inlineStr">
        <is>
          <t>,</t>
        </is>
      </c>
    </row>
    <row r="115">
      <c r="A115" s="4" t="inlineStr">
        <is>
          <t>NVV114</t>
        </is>
      </c>
      <c r="B115" s="5" t="inlineStr">
        <is>
          <t>jemanden zur Verzweiflung bringen</t>
        </is>
      </c>
      <c r="C115" s="4" t="inlineStr">
        <is>
          <t>zur (zu + der) + Dativ</t>
        </is>
      </c>
      <c r="D115" s="4" t="inlineStr">
        <is>
          <t>Neutral</t>
        </is>
      </c>
      <c r="E115" s="4" t="inlineStr">
        <is>
          <t>jemanden verrückt machen / verzweifeln lassen</t>
        </is>
      </c>
      <c r="F115" s="4" t="inlineStr">
        <is>
          <t>llevar a alguien a la desesperación</t>
        </is>
      </c>
      <c r="G115" s="4" t="inlineStr">
        <is>
          <t>to drive s.o. to despair</t>
        </is>
      </c>
      <c r="H115" s="4" t="inlineStr">
        <is>
          <t>die Verzweiflung ← ver- + zweifeln (to doubt) + -ung → „extremes Zweifeln</t>
        </is>
      </c>
      <c r="I115" s="4">
        <f> to bring to despair</f>
        <v/>
      </c>
      <c r="J115" s="4" t="inlineStr">
        <is>
          <t>jmdn. schier / fast / beinahe zur Verzweiflung bringen · an etwas verzweifeln (intransitiv)</t>
        </is>
      </c>
      <c r="K115" s="4" t="inlineStr">
        <is>
          <t>Dieses Computerprogramm bringt mich schier zur Verzweiflung!</t>
        </is>
      </c>
      <c r="L115" s="4" t="inlineStr">
        <is>
          <t>¡Este programa de ordenador me lleva a la desesperación!</t>
        </is>
      </c>
    </row>
    <row r="116">
      <c r="A116" s="2" t="inlineStr">
        <is>
          <t>NVV115</t>
        </is>
      </c>
      <c r="B116" s="3" t="inlineStr">
        <is>
          <t>Vorbereitungen treffen</t>
        </is>
      </c>
      <c r="C116" s="2" t="inlineStr">
        <is>
          <t>für + Akkusativ</t>
        </is>
      </c>
      <c r="D116" s="2" t="inlineStr">
        <is>
          <t>Neutral</t>
        </is>
      </c>
      <c r="E116" s="2" t="inlineStr">
        <is>
          <t>etwas vorbereiten</t>
        </is>
      </c>
      <c r="F116" s="2" t="inlineStr">
        <is>
          <t>hacer los preparativos (para)</t>
        </is>
      </c>
      <c r="G116" s="2" t="inlineStr">
        <is>
          <t>to make preparations (for)</t>
        </is>
      </c>
      <c r="H116" s="2" t="inlineStr">
        <is>
          <t>die Vorbereitung ← vor- (before) + bereiten (to prepare) + -ung · treffen = to hit/meet · Wörtlich: „Vorbereitungen treffen</t>
        </is>
      </c>
      <c r="I116" s="2" t="inlineStr">
        <is>
          <t>,</t>
        </is>
      </c>
      <c r="J116" s="2" t="inlineStr">
        <is>
          <t>,</t>
        </is>
      </c>
      <c r="K116" s="2" t="inlineStr">
        <is>
          <t>,</t>
        </is>
      </c>
      <c r="L116" s="2" t="inlineStr">
        <is>
          <t>,</t>
        </is>
      </c>
    </row>
    <row r="117">
      <c r="A117" s="4" t="inlineStr">
        <is>
          <t>NVV116</t>
        </is>
      </c>
      <c r="B117" s="5" t="inlineStr">
        <is>
          <t>einen Vorwurf machen/erheben</t>
        </is>
      </c>
      <c r="C117" s="4" t="inlineStr">
        <is>
          <t>jmdm. (Dativ) · gegen + Akk (erheben)</t>
        </is>
      </c>
      <c r="D117" s="4" t="inlineStr">
        <is>
          <t>Neutral + Formal</t>
        </is>
      </c>
      <c r="E117" s="4" t="inlineStr"/>
      <c r="F117" s="4" t="inlineStr">
        <is>
          <t>jemandem etwas vorwerfen</t>
        </is>
      </c>
      <c r="G117" s="4" t="inlineStr">
        <is>
          <t>reprochar / hacer un reproche (a)</t>
        </is>
      </c>
      <c r="H117" s="4" t="inlineStr">
        <is>
          <t>to reproach / to level an accusation (against)</t>
        </is>
      </c>
      <c r="I117" s="4" t="inlineStr">
        <is>
          <t>der Vorwurf ← vor- + werfen (to throw) → „jemandem etwas vorwerfen</t>
        </is>
      </c>
      <c r="J117" s="4" t="inlineStr">
        <is>
          <t>,</t>
        </is>
      </c>
      <c r="K117" s="4" t="inlineStr">
        <is>
          <t>,</t>
        </is>
      </c>
      <c r="L117" s="4" t="inlineStr">
        <is>
          <t>,</t>
        </is>
      </c>
    </row>
    <row r="118">
      <c r="A118" s="2" t="inlineStr">
        <is>
          <t>NVV117</t>
        </is>
      </c>
      <c r="B118" s="3" t="inlineStr">
        <is>
          <t>eine Wahl treffen</t>
        </is>
      </c>
      <c r="C118" s="2" t="inlineStr">
        <is>
          <t>zwischen + Dativ</t>
        </is>
      </c>
      <c r="D118" s="2" t="inlineStr">
        <is>
          <t>Neutral</t>
        </is>
      </c>
      <c r="E118" s="2" t="inlineStr">
        <is>
          <t>etwas wählen / sich entscheiden</t>
        </is>
      </c>
      <c r="F118" s="2" t="inlineStr">
        <is>
          <t>hacer una elección</t>
        </is>
      </c>
      <c r="G118" s="2" t="inlineStr">
        <is>
          <t>to make a choice</t>
        </is>
      </c>
      <c r="H118" s="2" t="inlineStr">
        <is>
          <t>die Wahl ← wählen (to choose) · treffen = to hit/meet · Wörtlich: „eine Wahl treffen</t>
        </is>
      </c>
      <c r="I118" s="2" t="inlineStr">
        <is>
          <t>,</t>
        </is>
      </c>
      <c r="J118" s="2" t="inlineStr">
        <is>
          <t>,</t>
        </is>
      </c>
      <c r="K118" s="2" t="inlineStr">
        <is>
          <t>,</t>
        </is>
      </c>
      <c r="L118" s="2" t="inlineStr">
        <is>
          <t>,</t>
        </is>
      </c>
    </row>
  </sheetData>
  <autoFilter ref="A1:L1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2026-04-12T17:01:42Z</dcterms:created>
  <dcterms:modified xmlns:dcterms="http://purl.org/dc/terms/" xmlns:xsi="http://www.w3.org/2001/XMLSchema-instance" xsi:type="dcterms:W3CDTF">2026-04-12T17:01:42Z</dcterms:modified>
</cp:coreProperties>
</file>